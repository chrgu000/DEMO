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工作项目\MT_牧田\牧田-模板Excel\"/>
    </mc:Choice>
  </mc:AlternateContent>
  <bookViews>
    <workbookView xWindow="480" yWindow="120" windowWidth="8505" windowHeight="4530" tabRatio="535"/>
  </bookViews>
  <sheets>
    <sheet name="034C（最新)" sheetId="8" r:id="rId1"/>
    <sheet name="Sheet1" sheetId="10" r:id="rId2"/>
    <sheet name="测量值" sheetId="9" r:id="rId3"/>
  </sheets>
  <definedNames>
    <definedName name="_xlnm.Print_Area" localSheetId="0">'034C（最新)'!$A$1:$Z$48</definedName>
  </definedNames>
  <calcPr calcId="162913"/>
</workbook>
</file>

<file path=xl/calcChain.xml><?xml version="1.0" encoding="utf-8"?>
<calcChain xmlns="http://schemas.openxmlformats.org/spreadsheetml/2006/main">
  <c r="H23" i="8" l="1"/>
  <c r="H22" i="8"/>
  <c r="H21" i="8"/>
  <c r="H20" i="8"/>
  <c r="H19" i="8"/>
  <c r="H18" i="8"/>
  <c r="H17" i="8"/>
  <c r="H16" i="8"/>
  <c r="H15" i="8"/>
  <c r="H14" i="8"/>
  <c r="H13" i="8"/>
  <c r="J12" i="8" l="1"/>
  <c r="V23" i="8" l="1"/>
  <c r="V22" i="8"/>
  <c r="V21" i="8"/>
  <c r="V20" i="8"/>
  <c r="V19" i="8"/>
  <c r="V18" i="8"/>
  <c r="V17" i="8"/>
  <c r="V16" i="8"/>
  <c r="V15" i="8"/>
  <c r="V14" i="8"/>
  <c r="V13" i="8"/>
  <c r="V12" i="8"/>
  <c r="U23" i="8"/>
  <c r="U22" i="8"/>
  <c r="U21" i="8"/>
  <c r="U20" i="8"/>
  <c r="U19" i="8"/>
  <c r="U18" i="8"/>
  <c r="U17" i="8"/>
  <c r="U16" i="8"/>
  <c r="U15" i="8"/>
  <c r="U14" i="8"/>
  <c r="U13" i="8"/>
  <c r="U12" i="8"/>
  <c r="T23" i="8"/>
  <c r="T22" i="8"/>
  <c r="T21" i="8"/>
  <c r="T20" i="8"/>
  <c r="T19" i="8"/>
  <c r="T18" i="8"/>
  <c r="T17" i="8"/>
  <c r="T16" i="8"/>
  <c r="T15" i="8"/>
  <c r="T14" i="8"/>
  <c r="T13" i="8"/>
  <c r="T12" i="8"/>
  <c r="S23" i="8"/>
  <c r="S22" i="8"/>
  <c r="S21" i="8"/>
  <c r="S20" i="8"/>
  <c r="S19" i="8"/>
  <c r="S18" i="8"/>
  <c r="S17" i="8"/>
  <c r="S16" i="8"/>
  <c r="S15" i="8"/>
  <c r="S14" i="8"/>
  <c r="S13" i="8"/>
  <c r="S12" i="8"/>
  <c r="R23" i="8"/>
  <c r="R22" i="8"/>
  <c r="R21" i="8"/>
  <c r="R20" i="8"/>
  <c r="R19" i="8"/>
  <c r="R18" i="8"/>
  <c r="R17" i="8"/>
  <c r="R16" i="8"/>
  <c r="R15" i="8"/>
  <c r="R14" i="8"/>
  <c r="R13" i="8"/>
  <c r="R12" i="8"/>
  <c r="Q23" i="8"/>
  <c r="Q22" i="8"/>
  <c r="Q21" i="8"/>
  <c r="Q20" i="8"/>
  <c r="Q19" i="8"/>
  <c r="Q18" i="8"/>
  <c r="Q17" i="8"/>
  <c r="Q16" i="8"/>
  <c r="Q15" i="8"/>
  <c r="Q14" i="8"/>
  <c r="Q13" i="8"/>
  <c r="Q12" i="8"/>
  <c r="P23" i="8"/>
  <c r="P22" i="8"/>
  <c r="P21" i="8"/>
  <c r="P20" i="8"/>
  <c r="P19" i="8"/>
  <c r="P18" i="8"/>
  <c r="P17" i="8"/>
  <c r="P16" i="8"/>
  <c r="P15" i="8"/>
  <c r="P14" i="8"/>
  <c r="P13" i="8"/>
  <c r="P12" i="8"/>
  <c r="O23" i="8"/>
  <c r="O22" i="8"/>
  <c r="O21" i="8"/>
  <c r="O20" i="8"/>
  <c r="O19" i="8"/>
  <c r="O18" i="8"/>
  <c r="O17" i="8"/>
  <c r="O16" i="8"/>
  <c r="O15" i="8"/>
  <c r="O14" i="8"/>
  <c r="O13" i="8"/>
  <c r="O12" i="8"/>
  <c r="N23" i="8"/>
  <c r="N22" i="8"/>
  <c r="N21" i="8"/>
  <c r="N20" i="8"/>
  <c r="N19" i="8"/>
  <c r="N18" i="8"/>
  <c r="N17" i="8"/>
  <c r="N16" i="8"/>
  <c r="N15" i="8"/>
  <c r="N14" i="8"/>
  <c r="N13" i="8"/>
  <c r="N12" i="8"/>
  <c r="M23" i="8"/>
  <c r="M22" i="8"/>
  <c r="M21" i="8"/>
  <c r="M20" i="8"/>
  <c r="M19" i="8"/>
  <c r="M18" i="8"/>
  <c r="M17" i="8"/>
  <c r="M16" i="8"/>
  <c r="M15" i="8"/>
  <c r="M14" i="8"/>
  <c r="M13" i="8"/>
  <c r="M12" i="8"/>
  <c r="L23" i="8"/>
  <c r="L22" i="8"/>
  <c r="L21" i="8"/>
  <c r="L20" i="8"/>
  <c r="L19" i="8"/>
  <c r="L18" i="8"/>
  <c r="L17" i="8"/>
  <c r="L16" i="8"/>
  <c r="L15" i="8"/>
  <c r="L14" i="8"/>
  <c r="L13" i="8"/>
  <c r="L12" i="8"/>
  <c r="K12" i="8"/>
  <c r="K23" i="8"/>
  <c r="K22" i="8"/>
  <c r="K21" i="8"/>
  <c r="K20" i="8"/>
  <c r="K19" i="8"/>
  <c r="K18" i="8"/>
  <c r="K17" i="8"/>
  <c r="K16" i="8"/>
  <c r="K15" i="8"/>
  <c r="K14" i="8"/>
  <c r="K13" i="8"/>
  <c r="J23" i="8"/>
  <c r="J22" i="8"/>
  <c r="J21" i="8"/>
  <c r="J20" i="8"/>
  <c r="J19" i="8"/>
  <c r="J18" i="8"/>
  <c r="J17" i="8"/>
  <c r="J16" i="8"/>
  <c r="J15" i="8"/>
  <c r="J14" i="8"/>
  <c r="J13" i="8"/>
  <c r="I23" i="8"/>
  <c r="I22" i="8"/>
  <c r="I21" i="8"/>
  <c r="I20" i="8"/>
  <c r="I19" i="8"/>
  <c r="I18" i="8"/>
  <c r="I17" i="8"/>
  <c r="I16" i="8"/>
  <c r="I15" i="8"/>
  <c r="I14" i="8"/>
  <c r="I13" i="8"/>
  <c r="I12" i="8"/>
  <c r="H12" i="8"/>
  <c r="G23" i="8"/>
  <c r="G22" i="8"/>
  <c r="G21" i="8"/>
  <c r="G20" i="8"/>
  <c r="G19" i="8"/>
  <c r="G18" i="8"/>
  <c r="G17" i="8"/>
  <c r="G16" i="8"/>
  <c r="G15" i="8"/>
  <c r="G14" i="8"/>
  <c r="G13" i="8"/>
  <c r="G12" i="8"/>
  <c r="F23" i="8"/>
  <c r="F22" i="8"/>
  <c r="F21" i="8"/>
  <c r="F20" i="8"/>
  <c r="F19" i="8"/>
  <c r="F18" i="8"/>
  <c r="F17" i="8"/>
  <c r="F16" i="8"/>
  <c r="F15" i="8"/>
  <c r="F14" i="8"/>
  <c r="F13" i="8"/>
  <c r="E23" i="8"/>
  <c r="E22" i="8"/>
  <c r="E21" i="8"/>
  <c r="E20" i="8"/>
  <c r="E19" i="8"/>
  <c r="E18" i="8"/>
  <c r="E17" i="8"/>
  <c r="E16" i="8"/>
  <c r="E15" i="8"/>
  <c r="E14" i="8"/>
  <c r="E13" i="8"/>
  <c r="D23" i="8"/>
  <c r="D22" i="8"/>
  <c r="D21" i="8"/>
  <c r="D20" i="8"/>
  <c r="D19" i="8"/>
  <c r="D18" i="8"/>
  <c r="D17" i="8"/>
  <c r="D16" i="8"/>
  <c r="D15" i="8"/>
  <c r="D14" i="8"/>
  <c r="D13" i="8"/>
  <c r="C23" i="8"/>
  <c r="C22" i="8"/>
  <c r="C21" i="8"/>
  <c r="C20" i="8"/>
  <c r="C19" i="8"/>
  <c r="C18" i="8"/>
  <c r="C17" i="8"/>
  <c r="C16" i="8"/>
  <c r="C15" i="8"/>
  <c r="C14" i="8"/>
  <c r="C13" i="8"/>
  <c r="C12" i="8"/>
  <c r="F12" i="8"/>
  <c r="E12" i="8"/>
  <c r="D12" i="8"/>
</calcChain>
</file>

<file path=xl/sharedStrings.xml><?xml version="1.0" encoding="utf-8"?>
<sst xmlns="http://schemas.openxmlformats.org/spreadsheetml/2006/main" count="134" uniqueCount="76">
  <si>
    <t>确认</t>
    <phoneticPr fontId="1" type="noConversion"/>
  </si>
  <si>
    <t>测定日：</t>
    <phoneticPr fontId="1" type="noConversion"/>
  </si>
  <si>
    <t>番号：</t>
    <phoneticPr fontId="1" type="noConversion"/>
  </si>
  <si>
    <t>检查者</t>
    <phoneticPr fontId="1" type="noConversion"/>
  </si>
  <si>
    <t>硬度计</t>
    <phoneticPr fontId="1" type="noConversion"/>
  </si>
  <si>
    <t>量具</t>
    <phoneticPr fontId="1" type="noConversion"/>
  </si>
  <si>
    <t>合·否</t>
    <phoneticPr fontId="1" type="noConversion"/>
  </si>
  <si>
    <t>判断</t>
    <phoneticPr fontId="1" type="noConversion"/>
  </si>
  <si>
    <t>淬裂检查</t>
    <phoneticPr fontId="1" type="noConversion"/>
  </si>
  <si>
    <t>宏观检查</t>
    <phoneticPr fontId="1" type="noConversion"/>
  </si>
  <si>
    <t>状态代码：a：首检  b：末检： c：换刀  d：调整  e：正常点检</t>
    <phoneticPr fontId="1" type="noConversion"/>
  </si>
  <si>
    <t>质量记录</t>
    <phoneticPr fontId="1" type="noConversion"/>
  </si>
  <si>
    <t>时间</t>
    <phoneticPr fontId="1" type="noConversion"/>
  </si>
  <si>
    <t>工位</t>
    <phoneticPr fontId="1" type="noConversion"/>
  </si>
  <si>
    <t>左/右</t>
    <phoneticPr fontId="1" type="noConversion"/>
  </si>
  <si>
    <t>左</t>
    <phoneticPr fontId="1" type="noConversion"/>
  </si>
  <si>
    <t>右</t>
    <phoneticPr fontId="1" type="noConversion"/>
  </si>
  <si>
    <t>保管期限：10年</t>
    <phoneticPr fontId="1" type="noConversion"/>
  </si>
  <si>
    <t>有·无</t>
    <phoneticPr fontId="1" type="noConversion"/>
  </si>
  <si>
    <t>裂痕</t>
    <phoneticPr fontId="1" type="noConversion"/>
  </si>
  <si>
    <t>连续淬、回火4次</t>
    <phoneticPr fontId="1" type="noConversion"/>
  </si>
  <si>
    <t>单位：mm</t>
    <phoneticPr fontId="1" type="noConversion"/>
  </si>
  <si>
    <t xml:space="preserve">    ※本表实施者为取得测量资格的人员，点检周期为2小时/次</t>
    <phoneticPr fontId="1" type="noConversion"/>
  </si>
  <si>
    <t xml:space="preserve">    ※发现异常时按&lt;测量不良后处理流程业务指导书〉进行处理；</t>
    <phoneticPr fontId="1" type="noConversion"/>
  </si>
  <si>
    <t xml:space="preserve">    ※如遇"首检""末检"时，请在"状态栏"内填入代码"a""b"（其他状态同此相同）</t>
    <phoneticPr fontId="1" type="noConversion"/>
  </si>
  <si>
    <t xml:space="preserve">        末检：零件换型、换刀、调整及长时间停机前的最后一个；</t>
    <phoneticPr fontId="1" type="noConversion"/>
  </si>
  <si>
    <t>淬火长度</t>
    <phoneticPr fontId="1" type="noConversion"/>
  </si>
  <si>
    <t>切齿部</t>
    <phoneticPr fontId="1" type="noConversion"/>
  </si>
  <si>
    <t>研磨部</t>
    <phoneticPr fontId="1" type="noConversion"/>
  </si>
  <si>
    <t>左工位</t>
    <phoneticPr fontId="1" type="noConversion"/>
  </si>
  <si>
    <t>右工位</t>
    <phoneticPr fontId="1" type="noConversion"/>
  </si>
  <si>
    <t>点检</t>
    <phoneticPr fontId="1" type="noConversion"/>
  </si>
  <si>
    <t>端面</t>
    <phoneticPr fontId="1" type="noConversion"/>
  </si>
  <si>
    <t xml:space="preserve">
换型（淬火）
</t>
    <phoneticPr fontId="1" type="noConversion"/>
  </si>
  <si>
    <t>千分尺</t>
    <phoneticPr fontId="8" type="noConversion"/>
  </si>
  <si>
    <t xml:space="preserve">        首检：零件换型或不连续生产的第一个零件；</t>
    <phoneticPr fontId="1" type="noConversion"/>
  </si>
  <si>
    <t>年</t>
    <phoneticPr fontId="8" type="noConversion"/>
  </si>
  <si>
    <t>月</t>
    <phoneticPr fontId="8" type="noConversion"/>
  </si>
  <si>
    <t>日</t>
    <phoneticPr fontId="8" type="noConversion"/>
  </si>
  <si>
    <t>检测切齿部上、中尺寸误差
（0.03以内)</t>
    <phoneticPr fontId="8" type="noConversion"/>
  </si>
  <si>
    <t>游标
卡尺</t>
    <phoneticPr fontId="1" type="noConversion"/>
  </si>
  <si>
    <t>部品名称：  转子轴</t>
    <phoneticPr fontId="1" type="noConversion"/>
  </si>
  <si>
    <t xml:space="preserve">
  待测值
状态                    </t>
    <phoneticPr fontId="1" type="noConversion"/>
  </si>
  <si>
    <t xml:space="preserve">         ※如发现写错时请用黑色笔划"  "并用红色笔</t>
    <phoneticPr fontId="1" type="noConversion"/>
  </si>
  <si>
    <t xml:space="preserve">                                                订正；不合格时，请用红笔记录实际值                                             </t>
    <phoneticPr fontId="1" type="noConversion"/>
  </si>
  <si>
    <t xml:space="preserve">                                                       ※点检时请对照&lt;加工工程用图&gt;和&lt;MCC生技/品管</t>
    <phoneticPr fontId="1" type="noConversion"/>
  </si>
  <si>
    <t xml:space="preserve">                                          发行作业指导书&gt;进行测量;</t>
    <phoneticPr fontId="1" type="noConversion"/>
  </si>
  <si>
    <t xml:space="preserve">           订正；不合格时，请用红笔记录实际值</t>
    <phoneticPr fontId="1" type="noConversion"/>
  </si>
  <si>
    <t xml:space="preserve">        ※测量前将量具调0，更换道具及产品时必须实施；</t>
    <phoneticPr fontId="1" type="noConversion"/>
  </si>
  <si>
    <t xml:space="preserve">        ※点检时请对照&lt;加工工程用图&gt;和&lt;MCC生技/品管发行作业指导书&gt;进行测量;</t>
    <phoneticPr fontId="1" type="noConversion"/>
  </si>
  <si>
    <t xml:space="preserve">        ※点检｛切齿部上、中尺寸误差（0.03以内)｝时请参照《淬火换型测量》作业标准。</t>
    <phoneticPr fontId="1" type="noConversion"/>
  </si>
  <si>
    <t xml:space="preserve">    ※端面硬度仅在换型时测量。</t>
    <phoneticPr fontId="1" type="noConversion"/>
  </si>
  <si>
    <t>高频淬火·回火工序品质确认记录</t>
    <phoneticPr fontId="1" type="noConversion"/>
  </si>
  <si>
    <t>左工位</t>
    <phoneticPr fontId="18" type="noConversion"/>
  </si>
  <si>
    <t>淬火长度</t>
    <phoneticPr fontId="18" type="noConversion"/>
  </si>
  <si>
    <t>切齿部</t>
    <phoneticPr fontId="18" type="noConversion"/>
  </si>
  <si>
    <t>研磨部</t>
    <phoneticPr fontId="18" type="noConversion"/>
  </si>
  <si>
    <t>端面</t>
    <phoneticPr fontId="18" type="noConversion"/>
  </si>
  <si>
    <t>检测切齿部上、中尺寸误差
（0.03以内)</t>
    <phoneticPr fontId="8" type="noConversion"/>
  </si>
  <si>
    <t>检测切齿部上、中尺寸误差（0.03以内)</t>
    <phoneticPr fontId="18" type="noConversion"/>
  </si>
  <si>
    <t>左</t>
    <phoneticPr fontId="18" type="noConversion"/>
  </si>
  <si>
    <t>右</t>
    <phoneticPr fontId="18" type="noConversion"/>
  </si>
  <si>
    <t>右工位</t>
    <phoneticPr fontId="18" type="noConversion"/>
  </si>
  <si>
    <t>第1次点检</t>
    <phoneticPr fontId="18" type="noConversion"/>
  </si>
  <si>
    <t>第2次点检</t>
  </si>
  <si>
    <t>第3次点检</t>
  </si>
  <si>
    <t>第4次点检</t>
  </si>
  <si>
    <t>第5次点检</t>
  </si>
  <si>
    <t>第6次点检</t>
  </si>
  <si>
    <t>第7次点检</t>
  </si>
  <si>
    <t>第8次点检</t>
  </si>
  <si>
    <t>第9次点检</t>
  </si>
  <si>
    <t>第10次点检</t>
  </si>
  <si>
    <t>换型（回火）</t>
  </si>
  <si>
    <t>换型（回火）</t>
    <phoneticPr fontId="1" type="noConversion"/>
  </si>
  <si>
    <t>换型（淬火）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</si>
</sst>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25" x14ac:knownFonts="1">
    <font>
      <sz val="12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sz val="8"/>
      <name val="宋体"/>
      <charset val="134"/>
    </font>
    <font>
      <sz val="11"/>
      <name val="宋体"/>
      <charset val="134"/>
    </font>
    <font>
      <sz val="8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4"/>
      <name val="宋体"/>
      <charset val="134"/>
    </font>
    <font>
      <sz val="16"/>
      <name val="宋体"/>
      <charset val="134"/>
    </font>
    <font>
      <sz val="20"/>
      <name val="宋体"/>
      <charset val="134"/>
    </font>
    <font>
      <sz val="22"/>
      <name val="宋体"/>
      <charset val="134"/>
    </font>
    <font>
      <sz val="24"/>
      <name val="宋体"/>
      <charset val="134"/>
    </font>
    <font>
      <sz val="26"/>
      <name val="宋体"/>
      <charset val="134"/>
    </font>
    <font>
      <sz val="28"/>
      <name val="宋体"/>
      <charset val="134"/>
    </font>
    <font>
      <sz val="36"/>
      <name val="宋体"/>
      <charset val="134"/>
    </font>
    <font>
      <b/>
      <sz val="72"/>
      <name val="宋体"/>
      <charset val="134"/>
    </font>
    <font>
      <sz val="9"/>
      <name val="宋体"/>
      <charset val="134"/>
    </font>
    <font>
      <b/>
      <sz val="72"/>
      <name val="宋体"/>
      <charset val="134"/>
    </font>
    <font>
      <sz val="9"/>
      <name val="宋体"/>
      <charset val="134"/>
    </font>
    <font>
      <sz val="24"/>
      <name val="宋体"/>
      <charset val="134"/>
    </font>
    <font>
      <sz val="36"/>
      <name val="宋体"/>
      <charset val="134"/>
    </font>
    <font>
      <sz val="10"/>
      <name val="宋体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23" fillId="0" borderId="0" xfId="0" applyFont="1"/>
    <xf numFmtId="0" fontId="16" fillId="0" borderId="2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6" fillId="0" borderId="6" xfId="0" applyFont="1" applyBorder="1" applyAlignment="1" applyProtection="1">
      <alignment vertical="center"/>
      <protection locked="0"/>
    </xf>
    <xf numFmtId="0" fontId="16" fillId="0" borderId="8" xfId="0" applyFont="1" applyBorder="1" applyAlignment="1" applyProtection="1">
      <alignment horizontal="right" vertical="center"/>
      <protection locked="0"/>
    </xf>
    <xf numFmtId="0" fontId="16" fillId="0" borderId="8" xfId="0" applyFont="1" applyBorder="1" applyProtection="1">
      <protection locked="0"/>
    </xf>
    <xf numFmtId="0" fontId="13" fillId="0" borderId="8" xfId="0" applyFont="1" applyBorder="1" applyProtection="1">
      <protection locked="0"/>
    </xf>
    <xf numFmtId="0" fontId="13" fillId="0" borderId="8" xfId="0" applyFont="1" applyBorder="1" applyAlignment="1" applyProtection="1">
      <alignment horizontal="right" vertical="center"/>
      <protection locked="0"/>
    </xf>
    <xf numFmtId="0" fontId="13" fillId="0" borderId="8" xfId="0" applyFont="1" applyBorder="1" applyAlignment="1" applyProtection="1">
      <alignment vertical="center"/>
      <protection locked="0"/>
    </xf>
    <xf numFmtId="0" fontId="13" fillId="0" borderId="7" xfId="0" applyFont="1" applyBorder="1" applyAlignment="1" applyProtection="1">
      <alignment vertical="center"/>
      <protection locked="0"/>
    </xf>
    <xf numFmtId="0" fontId="16" fillId="0" borderId="10" xfId="0" applyFont="1" applyBorder="1" applyAlignment="1" applyProtection="1">
      <alignment vertical="center"/>
      <protection locked="0"/>
    </xf>
    <xf numFmtId="0" fontId="13" fillId="0" borderId="10" xfId="0" applyFont="1" applyBorder="1" applyAlignment="1" applyProtection="1">
      <alignment vertical="center"/>
      <protection locked="0"/>
    </xf>
    <xf numFmtId="0" fontId="13" fillId="0" borderId="10" xfId="0" applyFont="1" applyBorder="1" applyProtection="1">
      <protection locked="0"/>
    </xf>
    <xf numFmtId="0" fontId="13" fillId="0" borderId="11" xfId="0" applyFont="1" applyBorder="1" applyAlignment="1" applyProtection="1">
      <alignment vertical="center"/>
      <protection locked="0"/>
    </xf>
    <xf numFmtId="0" fontId="13" fillId="0" borderId="0" xfId="0" applyFont="1" applyBorder="1" applyProtection="1"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4" fillId="0" borderId="2" xfId="0" applyFont="1" applyBorder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3" fillId="0" borderId="15" xfId="0" applyFont="1" applyBorder="1" applyAlignment="1" applyProtection="1">
      <alignment vertical="top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Protection="1">
      <protection locked="0"/>
    </xf>
    <xf numFmtId="0" fontId="13" fillId="0" borderId="2" xfId="0" applyFont="1" applyBorder="1" applyAlignment="1" applyProtection="1">
      <alignment vertical="center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6" fillId="0" borderId="0" xfId="0" applyFont="1" applyBorder="1" applyProtection="1">
      <protection locked="0"/>
    </xf>
    <xf numFmtId="0" fontId="16" fillId="0" borderId="2" xfId="0" applyFont="1" applyFill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13" fillId="0" borderId="1" xfId="0" applyFont="1" applyBorder="1" applyProtection="1"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6" fillId="0" borderId="0" xfId="0" applyFont="1" applyProtection="1"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13" fillId="0" borderId="2" xfId="0" applyNumberFormat="1" applyFont="1" applyBorder="1" applyAlignment="1" applyProtection="1">
      <alignment vertical="center"/>
    </xf>
    <xf numFmtId="0" fontId="23" fillId="0" borderId="0" xfId="0" applyFont="1" applyBorder="1"/>
    <xf numFmtId="176" fontId="23" fillId="0" borderId="0" xfId="0" applyNumberFormat="1" applyFont="1" applyBorder="1" applyProtection="1">
      <protection locked="0"/>
    </xf>
    <xf numFmtId="0" fontId="23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left" vertical="center" wrapText="1"/>
    </xf>
    <xf numFmtId="0" fontId="23" fillId="0" borderId="18" xfId="0" applyFont="1" applyBorder="1"/>
    <xf numFmtId="0" fontId="23" fillId="0" borderId="19" xfId="0" applyFont="1" applyBorder="1"/>
    <xf numFmtId="176" fontId="23" fillId="0" borderId="21" xfId="0" applyNumberFormat="1" applyFont="1" applyBorder="1" applyProtection="1">
      <protection locked="0"/>
    </xf>
    <xf numFmtId="0" fontId="23" fillId="0" borderId="23" xfId="0" applyFont="1" applyBorder="1" applyAlignment="1">
      <alignment horizontal="left" vertical="center" wrapText="1"/>
    </xf>
    <xf numFmtId="176" fontId="23" fillId="0" borderId="23" xfId="0" applyNumberFormat="1" applyFont="1" applyBorder="1" applyProtection="1">
      <protection locked="0"/>
    </xf>
    <xf numFmtId="176" fontId="23" fillId="0" borderId="24" xfId="0" applyNumberFormat="1" applyFont="1" applyBorder="1" applyProtection="1">
      <protection locked="0"/>
    </xf>
    <xf numFmtId="0" fontId="21" fillId="0" borderId="2" xfId="0" applyFont="1" applyBorder="1" applyProtection="1">
      <protection locked="0"/>
    </xf>
    <xf numFmtId="176" fontId="24" fillId="0" borderId="0" xfId="0" applyNumberFormat="1" applyFont="1" applyBorder="1" applyProtection="1"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10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0" borderId="4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12" xfId="0" applyFont="1" applyBorder="1" applyAlignment="1" applyProtection="1">
      <alignment horizontal="center" vertical="center"/>
      <protection locked="0"/>
    </xf>
    <xf numFmtId="0" fontId="10" fillId="0" borderId="11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10" xfId="0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left" vertical="center"/>
      <protection locked="0"/>
    </xf>
    <xf numFmtId="0" fontId="16" fillId="0" borderId="10" xfId="0" applyFont="1" applyBorder="1" applyAlignment="1" applyProtection="1">
      <alignment horizontal="left" vertical="center"/>
      <protection locked="0"/>
    </xf>
    <xf numFmtId="0" fontId="16" fillId="0" borderId="10" xfId="0" applyFont="1" applyBorder="1" applyAlignment="1" applyProtection="1">
      <alignment horizontal="center" vertical="center"/>
      <protection locked="0"/>
    </xf>
    <xf numFmtId="0" fontId="16" fillId="0" borderId="6" xfId="0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16" fillId="0" borderId="7" xfId="0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horizontal="center" vertical="center"/>
      <protection locked="0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13" fillId="0" borderId="5" xfId="0" applyFont="1" applyBorder="1" applyAlignment="1" applyProtection="1">
      <alignment horizontal="center" vertical="center"/>
      <protection locked="0"/>
    </xf>
    <xf numFmtId="0" fontId="22" fillId="0" borderId="3" xfId="0" applyFont="1" applyBorder="1" applyAlignment="1" applyProtection="1">
      <alignment horizontal="center" vertical="center" wrapText="1"/>
      <protection locked="0"/>
    </xf>
    <xf numFmtId="0" fontId="22" fillId="0" borderId="3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0" fontId="11" fillId="0" borderId="7" xfId="0" applyFont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0" borderId="10" xfId="0" applyFont="1" applyBorder="1" applyAlignment="1" applyProtection="1">
      <alignment horizontal="center"/>
      <protection locked="0"/>
    </xf>
    <xf numFmtId="0" fontId="11" fillId="0" borderId="11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protection locked="0"/>
    </xf>
    <xf numFmtId="0" fontId="2" fillId="0" borderId="8" xfId="0" applyFont="1" applyBorder="1" applyAlignment="1" applyProtection="1"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23" fillId="0" borderId="0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159075</xdr:colOff>
      <xdr:row>28</xdr:row>
      <xdr:rowOff>52387</xdr:rowOff>
    </xdr:from>
    <xdr:to>
      <xdr:col>6</xdr:col>
      <xdr:colOff>159075</xdr:colOff>
      <xdr:row>40</xdr:row>
      <xdr:rowOff>14287</xdr:rowOff>
    </xdr:to>
    <xdr:cxnSp macro="">
      <xdr:nvCxnSpPr>
        <xdr:cNvPr id="2" name="直接连接符 1"/>
        <xdr:cNvCxnSpPr/>
      </xdr:nvCxnSpPr>
      <xdr:spPr>
        <a:xfrm flipH="1">
          <a:off x="8358195" y="27179587"/>
          <a:ext cx="0" cy="122967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528651</xdr:colOff>
      <xdr:row>28</xdr:row>
      <xdr:rowOff>2855</xdr:rowOff>
    </xdr:from>
    <xdr:to>
      <xdr:col>19</xdr:col>
      <xdr:colOff>528651</xdr:colOff>
      <xdr:row>39</xdr:row>
      <xdr:rowOff>714378</xdr:rowOff>
    </xdr:to>
    <xdr:cxnSp macro="">
      <xdr:nvCxnSpPr>
        <xdr:cNvPr id="3" name="直接连接符 2"/>
        <xdr:cNvCxnSpPr/>
      </xdr:nvCxnSpPr>
      <xdr:spPr>
        <a:xfrm flipH="1">
          <a:off x="24198276" y="27112910"/>
          <a:ext cx="0" cy="1230153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86"/>
  <sheetViews>
    <sheetView tabSelected="1" view="pageBreakPreview" zoomScale="40" zoomScaleNormal="55" zoomScaleSheetLayoutView="40" workbookViewId="0">
      <selection activeCell="N12" sqref="N12"/>
    </sheetView>
  </sheetViews>
  <sheetFormatPr defaultColWidth="8.75" defaultRowHeight="18.75" x14ac:dyDescent="0.25"/>
  <cols>
    <col min="1" max="1" width="26.625" style="3" customWidth="1"/>
    <col min="2" max="2" width="18.375" style="3" customWidth="1"/>
    <col min="3" max="3" width="15.625" style="3" customWidth="1"/>
    <col min="4" max="4" width="26.875" style="3" customWidth="1"/>
    <col min="5" max="5" width="24.875" style="3" bestFit="1" customWidth="1"/>
    <col min="6" max="22" width="15.625" style="3" customWidth="1"/>
    <col min="23" max="23" width="23.375" style="34" customWidth="1"/>
    <col min="24" max="25" width="7.875" style="34" customWidth="1"/>
    <col min="26" max="26" width="19.875" style="34" customWidth="1"/>
    <col min="27" max="16384" width="8.75" style="3"/>
  </cols>
  <sheetData>
    <row r="1" spans="1:26" ht="68.25" customHeight="1" x14ac:dyDescent="0.15">
      <c r="A1" s="55" t="s">
        <v>52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0" t="s">
        <v>0</v>
      </c>
      <c r="W1" s="60"/>
      <c r="X1" s="61" t="s">
        <v>31</v>
      </c>
      <c r="Y1" s="62"/>
      <c r="Z1" s="63"/>
    </row>
    <row r="2" spans="1:26" ht="59.25" customHeight="1" x14ac:dyDescent="0.1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7"/>
      <c r="V2" s="64"/>
      <c r="W2" s="65"/>
      <c r="X2" s="64"/>
      <c r="Y2" s="70"/>
      <c r="Z2" s="65"/>
    </row>
    <row r="3" spans="1:26" ht="97.5" customHeight="1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7"/>
      <c r="V3" s="66"/>
      <c r="W3" s="67"/>
      <c r="X3" s="66"/>
      <c r="Y3" s="71"/>
      <c r="Z3" s="67"/>
    </row>
    <row r="4" spans="1:26" ht="70.5" customHeight="1" x14ac:dyDescent="0.1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9"/>
      <c r="V4" s="68"/>
      <c r="W4" s="69"/>
      <c r="X4" s="68"/>
      <c r="Y4" s="72"/>
      <c r="Z4" s="69"/>
    </row>
    <row r="5" spans="1:26" ht="79.5" customHeight="1" x14ac:dyDescent="0.55000000000000004">
      <c r="A5" s="4" t="s">
        <v>1</v>
      </c>
      <c r="B5" s="5"/>
      <c r="C5" s="5" t="s">
        <v>36</v>
      </c>
      <c r="D5" s="5"/>
      <c r="E5" s="6"/>
      <c r="F5" s="5" t="s">
        <v>37</v>
      </c>
      <c r="G5" s="5"/>
      <c r="H5" s="5"/>
      <c r="I5" s="5" t="s">
        <v>38</v>
      </c>
      <c r="J5" s="5"/>
      <c r="K5" s="7"/>
      <c r="L5" s="8"/>
      <c r="M5" s="7"/>
      <c r="N5" s="7"/>
      <c r="O5" s="7"/>
      <c r="P5" s="7"/>
      <c r="Q5" s="7"/>
      <c r="R5" s="7"/>
      <c r="S5" s="7"/>
      <c r="T5" s="7"/>
      <c r="U5" s="7"/>
      <c r="V5" s="8"/>
      <c r="W5" s="9"/>
      <c r="X5" s="9"/>
      <c r="Y5" s="9"/>
      <c r="Z5" s="10"/>
    </row>
    <row r="6" spans="1:26" ht="75.75" customHeight="1" x14ac:dyDescent="0.4">
      <c r="A6" s="73" t="s">
        <v>41</v>
      </c>
      <c r="B6" s="74"/>
      <c r="C6" s="74"/>
      <c r="D6" s="74"/>
      <c r="E6" s="11" t="s">
        <v>2</v>
      </c>
      <c r="F6" s="75"/>
      <c r="G6" s="75"/>
      <c r="H6" s="11"/>
      <c r="I6" s="11"/>
      <c r="J6" s="11"/>
      <c r="K6" s="12"/>
      <c r="L6" s="12"/>
      <c r="M6" s="12"/>
      <c r="N6" s="13"/>
      <c r="O6" s="13"/>
      <c r="P6" s="13"/>
      <c r="Q6" s="13"/>
      <c r="R6" s="12"/>
      <c r="S6" s="12"/>
      <c r="T6" s="12"/>
      <c r="U6" s="12"/>
      <c r="V6" s="12"/>
      <c r="W6" s="12"/>
      <c r="X6" s="12"/>
      <c r="Y6" s="12"/>
      <c r="Z6" s="14"/>
    </row>
    <row r="7" spans="1:26" ht="40.5" customHeight="1" x14ac:dyDescent="0.4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5"/>
      <c r="O7" s="15"/>
      <c r="P7" s="15"/>
      <c r="Q7" s="15"/>
      <c r="R7" s="12"/>
      <c r="S7" s="12"/>
      <c r="T7" s="12"/>
      <c r="U7" s="12"/>
      <c r="V7" s="12"/>
      <c r="W7" s="16"/>
      <c r="X7" s="12"/>
      <c r="Y7" s="12"/>
      <c r="Z7" s="12"/>
    </row>
    <row r="8" spans="1:26" ht="73.5" customHeight="1" x14ac:dyDescent="0.15">
      <c r="A8" s="60" t="s">
        <v>12</v>
      </c>
      <c r="B8" s="2" t="s">
        <v>13</v>
      </c>
      <c r="C8" s="61" t="s">
        <v>29</v>
      </c>
      <c r="D8" s="62"/>
      <c r="E8" s="62"/>
      <c r="F8" s="62"/>
      <c r="G8" s="62"/>
      <c r="H8" s="62"/>
      <c r="I8" s="62"/>
      <c r="J8" s="62"/>
      <c r="K8" s="62"/>
      <c r="L8" s="63"/>
      <c r="M8" s="76" t="s">
        <v>30</v>
      </c>
      <c r="N8" s="77"/>
      <c r="O8" s="77"/>
      <c r="P8" s="77"/>
      <c r="Q8" s="77"/>
      <c r="R8" s="77"/>
      <c r="S8" s="77"/>
      <c r="T8" s="77"/>
      <c r="U8" s="77"/>
      <c r="V8" s="78"/>
      <c r="W8" s="79" t="s">
        <v>7</v>
      </c>
      <c r="X8" s="76" t="s">
        <v>3</v>
      </c>
      <c r="Y8" s="77"/>
      <c r="Z8" s="78"/>
    </row>
    <row r="9" spans="1:26" ht="70.5" customHeight="1" x14ac:dyDescent="0.15">
      <c r="A9" s="60"/>
      <c r="B9" s="2" t="s">
        <v>14</v>
      </c>
      <c r="C9" s="61" t="s">
        <v>15</v>
      </c>
      <c r="D9" s="62"/>
      <c r="E9" s="62"/>
      <c r="F9" s="62"/>
      <c r="G9" s="63"/>
      <c r="H9" s="61" t="s">
        <v>16</v>
      </c>
      <c r="I9" s="62"/>
      <c r="J9" s="62"/>
      <c r="K9" s="62"/>
      <c r="L9" s="63"/>
      <c r="M9" s="61" t="s">
        <v>15</v>
      </c>
      <c r="N9" s="62"/>
      <c r="O9" s="62"/>
      <c r="P9" s="62"/>
      <c r="Q9" s="63"/>
      <c r="R9" s="61" t="s">
        <v>16</v>
      </c>
      <c r="S9" s="62"/>
      <c r="T9" s="62"/>
      <c r="U9" s="62"/>
      <c r="V9" s="63"/>
      <c r="W9" s="80"/>
      <c r="X9" s="82"/>
      <c r="Y9" s="83"/>
      <c r="Z9" s="84"/>
    </row>
    <row r="10" spans="1:26" ht="84" customHeight="1" x14ac:dyDescent="0.15">
      <c r="A10" s="60"/>
      <c r="B10" s="17" t="s">
        <v>5</v>
      </c>
      <c r="C10" s="18" t="s">
        <v>40</v>
      </c>
      <c r="D10" s="87" t="s">
        <v>4</v>
      </c>
      <c r="E10" s="88"/>
      <c r="F10" s="89"/>
      <c r="G10" s="17" t="s">
        <v>34</v>
      </c>
      <c r="H10" s="18" t="s">
        <v>40</v>
      </c>
      <c r="I10" s="87" t="s">
        <v>4</v>
      </c>
      <c r="J10" s="88"/>
      <c r="K10" s="89"/>
      <c r="L10" s="17" t="s">
        <v>34</v>
      </c>
      <c r="M10" s="18" t="s">
        <v>40</v>
      </c>
      <c r="N10" s="87" t="s">
        <v>4</v>
      </c>
      <c r="O10" s="88"/>
      <c r="P10" s="89"/>
      <c r="Q10" s="17" t="s">
        <v>34</v>
      </c>
      <c r="R10" s="18" t="s">
        <v>40</v>
      </c>
      <c r="S10" s="87" t="s">
        <v>4</v>
      </c>
      <c r="T10" s="88"/>
      <c r="U10" s="89"/>
      <c r="V10" s="17" t="s">
        <v>34</v>
      </c>
      <c r="W10" s="80"/>
      <c r="X10" s="82"/>
      <c r="Y10" s="83"/>
      <c r="Z10" s="84"/>
    </row>
    <row r="11" spans="1:26" ht="237" customHeight="1" x14ac:dyDescent="0.15">
      <c r="A11" s="60"/>
      <c r="B11" s="19" t="s">
        <v>42</v>
      </c>
      <c r="C11" s="20" t="s">
        <v>26</v>
      </c>
      <c r="D11" s="20" t="s">
        <v>27</v>
      </c>
      <c r="E11" s="20" t="s">
        <v>28</v>
      </c>
      <c r="F11" s="20" t="s">
        <v>32</v>
      </c>
      <c r="G11" s="21" t="s">
        <v>58</v>
      </c>
      <c r="H11" s="20" t="s">
        <v>26</v>
      </c>
      <c r="I11" s="20" t="s">
        <v>27</v>
      </c>
      <c r="J11" s="20" t="s">
        <v>28</v>
      </c>
      <c r="K11" s="20" t="s">
        <v>32</v>
      </c>
      <c r="L11" s="20" t="s">
        <v>39</v>
      </c>
      <c r="M11" s="20" t="s">
        <v>26</v>
      </c>
      <c r="N11" s="20" t="s">
        <v>27</v>
      </c>
      <c r="O11" s="20" t="s">
        <v>28</v>
      </c>
      <c r="P11" s="20" t="s">
        <v>32</v>
      </c>
      <c r="Q11" s="20" t="s">
        <v>39</v>
      </c>
      <c r="R11" s="20" t="s">
        <v>26</v>
      </c>
      <c r="S11" s="20" t="s">
        <v>27</v>
      </c>
      <c r="T11" s="20" t="s">
        <v>28</v>
      </c>
      <c r="U11" s="20" t="s">
        <v>32</v>
      </c>
      <c r="V11" s="20" t="s">
        <v>39</v>
      </c>
      <c r="W11" s="81"/>
      <c r="X11" s="85"/>
      <c r="Y11" s="75"/>
      <c r="Z11" s="86"/>
    </row>
    <row r="12" spans="1:26" ht="84.95" customHeight="1" x14ac:dyDescent="0.4">
      <c r="A12" s="53"/>
      <c r="B12" s="23"/>
      <c r="C12" s="42" t="str">
        <f>IFERROR(IF(测量值!H$2 &lt;&gt; "",测量值!H$2,“”),"")</f>
        <v/>
      </c>
      <c r="D12" s="42" t="str">
        <f>IFERROR(AVERAGE(测量值!H$3:H$5),"")</f>
        <v/>
      </c>
      <c r="E12" s="42" t="str">
        <f>IFERROR(AVERAGE(测量值!H$6:H$8),"")</f>
        <v/>
      </c>
      <c r="F12" s="42" t="str">
        <f>IFERROR(AVERAGE(测量值!H$9:H$11),"")</f>
        <v/>
      </c>
      <c r="G12" s="42" t="str">
        <f>IFERROR(AVERAGE(测量值!H$12:H$14),"")</f>
        <v/>
      </c>
      <c r="H12" s="42" t="str">
        <f>IFERROR(IF(测量值!H$15 &lt;&gt; "",测量值!H$15,“”),"")</f>
        <v/>
      </c>
      <c r="I12" s="42" t="str">
        <f>IFERROR(AVERAGE(测量值!$H$16:$H$18),"")</f>
        <v/>
      </c>
      <c r="J12" s="42" t="str">
        <f>IFERROR(AVERAGE(测量值!$H19:$H21),"")</f>
        <v/>
      </c>
      <c r="K12" s="42" t="str">
        <f>IFERROR(AVERAGE(测量值!$H$22:$H$24),"")</f>
        <v/>
      </c>
      <c r="L12" s="42" t="str">
        <f>IFERROR(AVERAGE(测量值!$H$25:$H$27),"")</f>
        <v/>
      </c>
      <c r="M12" s="42" t="str">
        <f>IFERROR(IF(测量值!H$28 &lt;&gt; "",测量值!H$28,“”),"")</f>
        <v/>
      </c>
      <c r="N12" s="42" t="str">
        <f>IFERROR(AVERAGE(测量值!$H$29:$H$31),"")</f>
        <v/>
      </c>
      <c r="O12" s="42" t="str">
        <f>IFERROR(AVERAGE(测量值!$H$32:$H$34),"")</f>
        <v/>
      </c>
      <c r="P12" s="42" t="str">
        <f>IFERROR(AVERAGE(测量值!$H$35:$H$37),"")</f>
        <v/>
      </c>
      <c r="Q12" s="42" t="str">
        <f>IFERROR(AVERAGE(测量值!$H$38:$H$40),"")</f>
        <v/>
      </c>
      <c r="R12" s="42" t="str">
        <f>IFERROR(IF(测量值!H$41 &lt;&gt; "",测量值!H$41,“”),"")</f>
        <v/>
      </c>
      <c r="S12" s="42" t="str">
        <f>IFERROR(AVERAGE(测量值!$H$42:$H$44),"")</f>
        <v/>
      </c>
      <c r="T12" s="42" t="str">
        <f>IFERROR(AVERAGE(测量值!$H$45:$H$47),"")</f>
        <v/>
      </c>
      <c r="U12" s="42" t="str">
        <f>IFERROR(AVERAGE(测量值!$H$48:$H$50),"")</f>
        <v/>
      </c>
      <c r="V12" s="42" t="str">
        <f>IFERROR(AVERAGE(测量值!$H$51:$H$53),"")</f>
        <v/>
      </c>
      <c r="W12" s="24" t="s">
        <v>6</v>
      </c>
      <c r="X12" s="90"/>
      <c r="Y12" s="91"/>
      <c r="Z12" s="92"/>
    </row>
    <row r="13" spans="1:26" ht="84.95" customHeight="1" x14ac:dyDescent="0.4">
      <c r="A13" s="22"/>
      <c r="B13" s="23"/>
      <c r="C13" s="42" t="str">
        <f>IFERROR(IF(测量值!I$2 &lt;&gt; "",测量值!I$2,“”),"")</f>
        <v/>
      </c>
      <c r="D13" s="42" t="str">
        <f>IFERROR(AVERAGE(测量值!I$3:I$5),"")</f>
        <v/>
      </c>
      <c r="E13" s="42" t="str">
        <f>IFERROR(AVERAGE(测量值!I$6:I$8),"")</f>
        <v/>
      </c>
      <c r="F13" s="42" t="str">
        <f>IFERROR(AVERAGE(测量值!I$9:I$11),"")</f>
        <v/>
      </c>
      <c r="G13" s="42" t="str">
        <f>IFERROR(AVERAGE(测量值!I$12:I$14),"")</f>
        <v/>
      </c>
      <c r="H13" s="42" t="str">
        <f>IFERROR(IF(测量值!I$15 &lt;&gt; "",测量值!I$15,“”),"")</f>
        <v/>
      </c>
      <c r="I13" s="42" t="str">
        <f>IFERROR(AVERAGE(测量值!$I$16:$I$18),"")</f>
        <v/>
      </c>
      <c r="J13" s="42" t="str">
        <f>IFERROR(AVERAGE(测量值!$I$19:$I$21),"")</f>
        <v/>
      </c>
      <c r="K13" s="42" t="str">
        <f>IFERROR(AVERAGE(测量值!$I$22:$I$24),"")</f>
        <v/>
      </c>
      <c r="L13" s="42" t="str">
        <f>IFERROR(AVERAGE(测量值!$I$25:$I$27),"")</f>
        <v/>
      </c>
      <c r="M13" s="42" t="str">
        <f>IFERROR(IF(测量值!I$28 &lt;&gt; "",测量值!I$28,“”),"")</f>
        <v/>
      </c>
      <c r="N13" s="42" t="str">
        <f>IFERROR(AVERAGE(测量值!$I$29:$I$31),"")</f>
        <v/>
      </c>
      <c r="O13" s="42" t="str">
        <f>IFERROR(AVERAGE(测量值!$I$32:$I$34),"")</f>
        <v/>
      </c>
      <c r="P13" s="42" t="str">
        <f>IFERROR(AVERAGE(测量值!$I$35:$I$37),"")</f>
        <v/>
      </c>
      <c r="Q13" s="42" t="str">
        <f>IFERROR(AVERAGE(测量值!$I$38:$I$40),"")</f>
        <v/>
      </c>
      <c r="R13" s="42" t="str">
        <f>IFERROR(IF(测量值!I$41 &lt;&gt; "",测量值!I$41,“”),"")</f>
        <v/>
      </c>
      <c r="S13" s="42" t="str">
        <f>IFERROR(AVERAGE(测量值!$I$42:$I$44),"")</f>
        <v/>
      </c>
      <c r="T13" s="42" t="str">
        <f>IFERROR(AVERAGE(测量值!$I$45:$I$47),"")</f>
        <v/>
      </c>
      <c r="U13" s="42" t="str">
        <f>IFERROR(AVERAGE(测量值!$I$48:$I$50),"")</f>
        <v/>
      </c>
      <c r="V13" s="42" t="str">
        <f>IFERROR(AVERAGE(测量值!$I$51:$I$53),"")</f>
        <v/>
      </c>
      <c r="W13" s="24" t="s">
        <v>6</v>
      </c>
      <c r="X13" s="90"/>
      <c r="Y13" s="91"/>
      <c r="Z13" s="92"/>
    </row>
    <row r="14" spans="1:26" ht="84.95" customHeight="1" x14ac:dyDescent="0.15">
      <c r="A14" s="23"/>
      <c r="B14" s="23"/>
      <c r="C14" s="42" t="str">
        <f>IFERROR(IF(测量值!J$2 &lt;&gt; "",测量值!J$2,“”),"")</f>
        <v/>
      </c>
      <c r="D14" s="42" t="str">
        <f>IFERROR(AVERAGE(测量值!J$3:J$5),"")</f>
        <v/>
      </c>
      <c r="E14" s="42" t="str">
        <f>IFERROR(AVERAGE(测量值!J$6:J$8),"")</f>
        <v/>
      </c>
      <c r="F14" s="42" t="str">
        <f>IFERROR(AVERAGE(测量值!J$9:J$11),"")</f>
        <v/>
      </c>
      <c r="G14" s="42" t="str">
        <f>IFERROR(AVERAGE(测量值!J$12:J$14),"")</f>
        <v/>
      </c>
      <c r="H14" s="42" t="str">
        <f>IFERROR(IF(测量值!J$15 &lt;&gt; "",测量值!J$15,“”),"")</f>
        <v/>
      </c>
      <c r="I14" s="42" t="str">
        <f>IFERROR(AVERAGE(测量值!$J$16:$J$18),"")</f>
        <v/>
      </c>
      <c r="J14" s="42" t="str">
        <f>IFERROR(AVERAGE(测量值!$J$19:$J$21),"")</f>
        <v/>
      </c>
      <c r="K14" s="42" t="str">
        <f>IFERROR(AVERAGE(测量值!$J$22:$J$24),"")</f>
        <v/>
      </c>
      <c r="L14" s="42" t="str">
        <f>IFERROR(AVERAGE(测量值!$J$25:$J$27),"")</f>
        <v/>
      </c>
      <c r="M14" s="42" t="str">
        <f>IFERROR(IF(测量值!J$28 &lt;&gt; "",测量值!J$28,“”),"")</f>
        <v/>
      </c>
      <c r="N14" s="42" t="str">
        <f>IFERROR(AVERAGE(测量值!$J$29:$J$31),"")</f>
        <v/>
      </c>
      <c r="O14" s="42" t="str">
        <f>IFERROR(AVERAGE(测量值!$J$32:$J$34),"")</f>
        <v/>
      </c>
      <c r="P14" s="42" t="str">
        <f>IFERROR(AVERAGE(测量值!$J$35:$J$37),"")</f>
        <v/>
      </c>
      <c r="Q14" s="42" t="str">
        <f>IFERROR(AVERAGE(测量值!$J$38:$J$40),"")</f>
        <v/>
      </c>
      <c r="R14" s="42" t="str">
        <f>IFERROR(IF(测量值!J$41 &lt;&gt; "",测量值!J$41,“”),"")</f>
        <v/>
      </c>
      <c r="S14" s="42" t="str">
        <f>IFERROR(AVERAGE(测量值!$J$42:$J$44),"")</f>
        <v/>
      </c>
      <c r="T14" s="42" t="str">
        <f>IFERROR(AVERAGE(测量值!$J$45:$J$47),"")</f>
        <v/>
      </c>
      <c r="U14" s="42" t="str">
        <f>IFERROR(AVERAGE(测量值!$J$48:$J$50),"")</f>
        <v/>
      </c>
      <c r="V14" s="42" t="str">
        <f>IFERROR(AVERAGE(测量值!$J$51:$J$53),"")</f>
        <v/>
      </c>
      <c r="W14" s="24" t="s">
        <v>6</v>
      </c>
      <c r="X14" s="90"/>
      <c r="Y14" s="91"/>
      <c r="Z14" s="92"/>
    </row>
    <row r="15" spans="1:26" ht="84.95" customHeight="1" x14ac:dyDescent="0.15">
      <c r="A15" s="23"/>
      <c r="B15" s="23"/>
      <c r="C15" s="42" t="str">
        <f>IFERROR(IF(测量值!K$2 &lt;&gt; "",测量值!K$2,“”),"")</f>
        <v/>
      </c>
      <c r="D15" s="42" t="str">
        <f>IFERROR(AVERAGE(测量值!K$3:K$5),"")</f>
        <v/>
      </c>
      <c r="E15" s="42" t="str">
        <f>IFERROR(AVERAGE(测量值!K$6:K$8),"")</f>
        <v/>
      </c>
      <c r="F15" s="42" t="str">
        <f>IFERROR(AVERAGE(测量值!K$9:K$11),"")</f>
        <v/>
      </c>
      <c r="G15" s="42" t="str">
        <f>IFERROR(AVERAGE(测量值!K$12:K$14),"")</f>
        <v/>
      </c>
      <c r="H15" s="42" t="str">
        <f>IFERROR(IF(测量值!K$15 &lt;&gt; "",测量值!K$15,“”),"")</f>
        <v/>
      </c>
      <c r="I15" s="42" t="str">
        <f>IFERROR(AVERAGE(测量值!$K$16:$K$18),"")</f>
        <v/>
      </c>
      <c r="J15" s="42" t="str">
        <f>IFERROR(AVERAGE(测量值!$K$19:$K$21),"")</f>
        <v/>
      </c>
      <c r="K15" s="42" t="str">
        <f>IFERROR(AVERAGE(测量值!$K$22:$K$24),"")</f>
        <v/>
      </c>
      <c r="L15" s="42" t="str">
        <f>IFERROR(AVERAGE(测量值!$K$25:$K$27),"")</f>
        <v/>
      </c>
      <c r="M15" s="42" t="str">
        <f>IFERROR(IF(测量值!K$28 &lt;&gt; "",测量值!K$28,“”),"")</f>
        <v/>
      </c>
      <c r="N15" s="42" t="str">
        <f>IFERROR(AVERAGE(测量值!$K$29:$K$31),"")</f>
        <v/>
      </c>
      <c r="O15" s="42" t="str">
        <f>IFERROR(AVERAGE(测量值!$K$32:$K$34),"")</f>
        <v/>
      </c>
      <c r="P15" s="42" t="str">
        <f>IFERROR(AVERAGE(测量值!$K$35:$K$37),"")</f>
        <v/>
      </c>
      <c r="Q15" s="42" t="str">
        <f>IFERROR(AVERAGE(测量值!$K$38:$K$40),"")</f>
        <v/>
      </c>
      <c r="R15" s="42" t="str">
        <f>IFERROR(IF(测量值!K$41 &lt;&gt; "",测量值!K$41,“”),"")</f>
        <v/>
      </c>
      <c r="S15" s="42" t="str">
        <f>IFERROR(AVERAGE(测量值!$K$42:$K$44),"")</f>
        <v/>
      </c>
      <c r="T15" s="42" t="str">
        <f>IFERROR(AVERAGE(测量值!$K$45:$K$47),"")</f>
        <v/>
      </c>
      <c r="U15" s="42" t="str">
        <f>IFERROR(AVERAGE(测量值!$K$48:$K$50),"")</f>
        <v/>
      </c>
      <c r="V15" s="42" t="str">
        <f>IFERROR(AVERAGE(测量值!$K$51:$K$53),"")</f>
        <v/>
      </c>
      <c r="W15" s="24" t="s">
        <v>6</v>
      </c>
      <c r="X15" s="90"/>
      <c r="Y15" s="91"/>
      <c r="Z15" s="92"/>
    </row>
    <row r="16" spans="1:26" ht="84.95" customHeight="1" x14ac:dyDescent="0.15">
      <c r="A16" s="23"/>
      <c r="B16" s="23"/>
      <c r="C16" s="42" t="str">
        <f>IFERROR(IF(测量值!L$2 &lt;&gt; "",测量值!L$2,“”),"")</f>
        <v/>
      </c>
      <c r="D16" s="42" t="str">
        <f>IFERROR(AVERAGE(测量值!L$3:L$5),"")</f>
        <v/>
      </c>
      <c r="E16" s="42" t="str">
        <f>IFERROR(AVERAGE(测量值!L$6:L$8),"")</f>
        <v/>
      </c>
      <c r="F16" s="42" t="str">
        <f>IFERROR(AVERAGE(测量值!L$9:L$11),"")</f>
        <v/>
      </c>
      <c r="G16" s="42" t="str">
        <f>IFERROR(AVERAGE(测量值!L$12:L$14),"")</f>
        <v/>
      </c>
      <c r="H16" s="42" t="str">
        <f>IFERROR(IF(测量值!L$15 &lt;&gt; "",测量值!L$15,“”),"")</f>
        <v/>
      </c>
      <c r="I16" s="42" t="str">
        <f>IFERROR(AVERAGE(测量值!$L$16:$L$18),"")</f>
        <v/>
      </c>
      <c r="J16" s="42" t="str">
        <f>IFERROR(AVERAGE(测量值!$L$19:$L$21),"")</f>
        <v/>
      </c>
      <c r="K16" s="42" t="str">
        <f>IFERROR(AVERAGE(测量值!$L$22:$L$24),"")</f>
        <v/>
      </c>
      <c r="L16" s="42" t="str">
        <f>IFERROR(AVERAGE(测量值!$L$25:$L$27),"")</f>
        <v/>
      </c>
      <c r="M16" s="42" t="str">
        <f>IFERROR(IF(测量值!L$28 &lt;&gt; "",测量值!L$28,“”),"")</f>
        <v/>
      </c>
      <c r="N16" s="42" t="str">
        <f>IFERROR(AVERAGE(测量值!$L$29:$L$31),"")</f>
        <v/>
      </c>
      <c r="O16" s="42" t="str">
        <f>IFERROR(AVERAGE(测量值!$L$32:$L$34),"")</f>
        <v/>
      </c>
      <c r="P16" s="42" t="str">
        <f>IFERROR(AVERAGE(测量值!$L$35:$L$37),"")</f>
        <v/>
      </c>
      <c r="Q16" s="42" t="str">
        <f>IFERROR(AVERAGE(测量值!$L$38:$L$40),"")</f>
        <v/>
      </c>
      <c r="R16" s="42" t="str">
        <f>IFERROR(IF(测量值!L$41 &lt;&gt; "",测量值!L$41,“”),"")</f>
        <v/>
      </c>
      <c r="S16" s="42" t="str">
        <f>IFERROR(AVERAGE(测量值!$L$42:$L$44),"")</f>
        <v/>
      </c>
      <c r="T16" s="42" t="str">
        <f>IFERROR(AVERAGE(测量值!$L$45:$L$47),"")</f>
        <v/>
      </c>
      <c r="U16" s="42" t="str">
        <f>IFERROR(AVERAGE(测量值!$L$48:$L$50),"")</f>
        <v/>
      </c>
      <c r="V16" s="42" t="str">
        <f>IFERROR(AVERAGE(测量值!$L$51:$L$53),"")</f>
        <v/>
      </c>
      <c r="W16" s="24" t="s">
        <v>6</v>
      </c>
      <c r="X16" s="90"/>
      <c r="Y16" s="91"/>
      <c r="Z16" s="92"/>
    </row>
    <row r="17" spans="1:26" ht="84.95" customHeight="1" x14ac:dyDescent="0.15">
      <c r="A17" s="23"/>
      <c r="B17" s="23"/>
      <c r="C17" s="42" t="str">
        <f>IFERROR(IF(测量值!M$2 &lt;&gt; "",测量值!M$2,“”),"")</f>
        <v/>
      </c>
      <c r="D17" s="42" t="str">
        <f>IFERROR(AVERAGE(测量值!M$3:M$5),"")</f>
        <v/>
      </c>
      <c r="E17" s="42" t="str">
        <f>IFERROR(AVERAGE(测量值!M$6:M$8),"")</f>
        <v/>
      </c>
      <c r="F17" s="42" t="str">
        <f>IFERROR(AVERAGE(测量值!M$9:M$11),"")</f>
        <v/>
      </c>
      <c r="G17" s="42" t="str">
        <f>IFERROR(AVERAGE(测量值!M$12:M$14),"")</f>
        <v/>
      </c>
      <c r="H17" s="42" t="str">
        <f>IFERROR(IF(测量值!M$15 &lt;&gt; "",测量值!M$15,“”),"")</f>
        <v/>
      </c>
      <c r="I17" s="42" t="str">
        <f>IFERROR(AVERAGE(测量值!$M$16:$M$18),"")</f>
        <v/>
      </c>
      <c r="J17" s="42" t="str">
        <f>IFERROR(AVERAGE(测量值!$M$19:$M$21),"")</f>
        <v/>
      </c>
      <c r="K17" s="42" t="str">
        <f>IFERROR(AVERAGE(测量值!$M$22:$M$24),"")</f>
        <v/>
      </c>
      <c r="L17" s="42" t="str">
        <f>IFERROR(AVERAGE(测量值!$M$25:$M$27),"")</f>
        <v/>
      </c>
      <c r="M17" s="42" t="str">
        <f>IFERROR(IF(测量值!M$28 &lt;&gt; "",测量值!M$28,“”),"")</f>
        <v/>
      </c>
      <c r="N17" s="42" t="str">
        <f>IFERROR(AVERAGE(测量值!$M$29:$M$31),"")</f>
        <v/>
      </c>
      <c r="O17" s="42" t="str">
        <f>IFERROR(AVERAGE(测量值!$M$32:$M$34),"")</f>
        <v/>
      </c>
      <c r="P17" s="42" t="str">
        <f>IFERROR(AVERAGE(测量值!$M$35:$M$37),"")</f>
        <v/>
      </c>
      <c r="Q17" s="42" t="str">
        <f>IFERROR(AVERAGE(测量值!$M$38:$M$40),"")</f>
        <v/>
      </c>
      <c r="R17" s="42" t="str">
        <f>IFERROR(IF(测量值!M$41 &lt;&gt; "",测量值!M$41,“”),"")</f>
        <v/>
      </c>
      <c r="S17" s="42" t="str">
        <f>IFERROR(AVERAGE(测量值!$M$42:$M$44),"")</f>
        <v/>
      </c>
      <c r="T17" s="42" t="str">
        <f>IFERROR(AVERAGE(测量值!$M$45:$M$47),"")</f>
        <v/>
      </c>
      <c r="U17" s="42" t="str">
        <f>IFERROR(AVERAGE(测量值!$M$48:$M$50),"")</f>
        <v/>
      </c>
      <c r="V17" s="42" t="str">
        <f>IFERROR(AVERAGE(测量值!$M$51:$M$53),"")</f>
        <v/>
      </c>
      <c r="W17" s="24" t="s">
        <v>6</v>
      </c>
      <c r="X17" s="90"/>
      <c r="Y17" s="91"/>
      <c r="Z17" s="92"/>
    </row>
    <row r="18" spans="1:26" ht="84.95" customHeight="1" x14ac:dyDescent="0.15">
      <c r="A18" s="23"/>
      <c r="B18" s="23"/>
      <c r="C18" s="42" t="str">
        <f>IFERROR(IF(测量值!N$2 &lt;&gt; "",测量值!N$2,“”),"")</f>
        <v/>
      </c>
      <c r="D18" s="42" t="str">
        <f>IFERROR(AVERAGE(测量值!N$3:N$5),"")</f>
        <v/>
      </c>
      <c r="E18" s="42" t="str">
        <f>IFERROR(AVERAGE(测量值!N$6:N$8),"")</f>
        <v/>
      </c>
      <c r="F18" s="42" t="str">
        <f>IFERROR(AVERAGE(测量值!N$9:N$11),"")</f>
        <v/>
      </c>
      <c r="G18" s="42" t="str">
        <f>IFERROR(AVERAGE(测量值!N$12:N$14),"")</f>
        <v/>
      </c>
      <c r="H18" s="42" t="str">
        <f>IFERROR(IF(测量值!N$15 &lt;&gt; "",测量值!N$15,“”),"")</f>
        <v/>
      </c>
      <c r="I18" s="42" t="str">
        <f>IFERROR(AVERAGE(测量值!$N$16:$N$18),"")</f>
        <v/>
      </c>
      <c r="J18" s="42" t="str">
        <f>IFERROR(AVERAGE(测量值!$N$19:$N$21),"")</f>
        <v/>
      </c>
      <c r="K18" s="42" t="str">
        <f>IFERROR(AVERAGE(测量值!$N$22:$N$24),"")</f>
        <v/>
      </c>
      <c r="L18" s="42" t="str">
        <f>IFERROR(AVERAGE(测量值!$N$25:$N$27),"")</f>
        <v/>
      </c>
      <c r="M18" s="42" t="str">
        <f>IFERROR(IF(测量值!N$28 &lt;&gt; "",测量值!N$28,“”),"")</f>
        <v/>
      </c>
      <c r="N18" s="42" t="str">
        <f>IFERROR(AVERAGE(测量值!$N$29:$N$31),"")</f>
        <v/>
      </c>
      <c r="O18" s="42" t="str">
        <f>IFERROR(AVERAGE(测量值!$N$32:$N$34),"")</f>
        <v/>
      </c>
      <c r="P18" s="42" t="str">
        <f>IFERROR(AVERAGE(测量值!$N$35:$N$37),"")</f>
        <v/>
      </c>
      <c r="Q18" s="42" t="str">
        <f>IFERROR(AVERAGE(测量值!$N$38:$N$40),"")</f>
        <v/>
      </c>
      <c r="R18" s="42" t="str">
        <f>IFERROR(IF(测量值!N$41 &lt;&gt; "",测量值!N$41,“”),"")</f>
        <v/>
      </c>
      <c r="S18" s="42" t="str">
        <f>IFERROR(AVERAGE(测量值!$N$42:$N$44),"")</f>
        <v/>
      </c>
      <c r="T18" s="42" t="str">
        <f>IFERROR(AVERAGE(测量值!$N$45:$N$47),"")</f>
        <v/>
      </c>
      <c r="U18" s="42" t="str">
        <f>IFERROR(AVERAGE(测量值!$N$48:$N$50),"")</f>
        <v/>
      </c>
      <c r="V18" s="42" t="str">
        <f>IFERROR(AVERAGE(测量值!$N$51:$N$53),"")</f>
        <v/>
      </c>
      <c r="W18" s="24" t="s">
        <v>6</v>
      </c>
      <c r="X18" s="90"/>
      <c r="Y18" s="91"/>
      <c r="Z18" s="92"/>
    </row>
    <row r="19" spans="1:26" ht="84.95" customHeight="1" x14ac:dyDescent="0.15">
      <c r="A19" s="23"/>
      <c r="B19" s="23"/>
      <c r="C19" s="42" t="str">
        <f>IFERROR(IF(测量值!O$2 &lt;&gt; "",测量值!O$2,“”),"")</f>
        <v/>
      </c>
      <c r="D19" s="42" t="str">
        <f>IFERROR(AVERAGE(测量值!O$3:O$5),"")</f>
        <v/>
      </c>
      <c r="E19" s="42" t="str">
        <f>IFERROR(AVERAGE(测量值!O$6:O$8),"")</f>
        <v/>
      </c>
      <c r="F19" s="42" t="str">
        <f>IFERROR(AVERAGE(测量值!O$9:O$11),"")</f>
        <v/>
      </c>
      <c r="G19" s="42" t="str">
        <f>IFERROR(AVERAGE(测量值!O$12:O$14),"")</f>
        <v/>
      </c>
      <c r="H19" s="42" t="str">
        <f>IFERROR(IF(测量值!O$15 &lt;&gt; "",测量值!O$15,“”),"")</f>
        <v/>
      </c>
      <c r="I19" s="42" t="str">
        <f>IFERROR(AVERAGE(测量值!$O$16:$O$18),"")</f>
        <v/>
      </c>
      <c r="J19" s="42" t="str">
        <f>IFERROR(AVERAGE(测量值!$O$19:$O$21),"")</f>
        <v/>
      </c>
      <c r="K19" s="42" t="str">
        <f>IFERROR(AVERAGE(测量值!$O$22:$O$24),"")</f>
        <v/>
      </c>
      <c r="L19" s="42" t="str">
        <f>IFERROR(AVERAGE(测量值!$O$25:$O$27),"")</f>
        <v/>
      </c>
      <c r="M19" s="42" t="str">
        <f>IFERROR(IF(测量值!O$28 &lt;&gt; "",测量值!O$28,“”),"")</f>
        <v/>
      </c>
      <c r="N19" s="42" t="str">
        <f>IFERROR(AVERAGE(测量值!$O$29:$O$31),"")</f>
        <v/>
      </c>
      <c r="O19" s="42" t="str">
        <f>IFERROR(AVERAGE(测量值!$O$32:$O$34),"")</f>
        <v/>
      </c>
      <c r="P19" s="42" t="str">
        <f>IFERROR(AVERAGE(测量值!$O$35:$O$37),"")</f>
        <v/>
      </c>
      <c r="Q19" s="42" t="str">
        <f>IFERROR(AVERAGE(测量值!$O$38:$O$40),"")</f>
        <v/>
      </c>
      <c r="R19" s="42" t="str">
        <f>IFERROR(IF(测量值!O$41 &lt;&gt; "",测量值!O$41,“”),"")</f>
        <v/>
      </c>
      <c r="S19" s="42" t="str">
        <f>IFERROR(AVERAGE(测量值!$O$42:$O$44),"")</f>
        <v/>
      </c>
      <c r="T19" s="42" t="str">
        <f>IFERROR(AVERAGE(测量值!$O$45:$O$47),"")</f>
        <v/>
      </c>
      <c r="U19" s="42" t="str">
        <f>IFERROR(AVERAGE(测量值!$O$48:$O$50),"")</f>
        <v/>
      </c>
      <c r="V19" s="42" t="str">
        <f>IFERROR(AVERAGE(测量值!$O$51:$O$53),"")</f>
        <v/>
      </c>
      <c r="W19" s="24" t="s">
        <v>6</v>
      </c>
      <c r="X19" s="90"/>
      <c r="Y19" s="91"/>
      <c r="Z19" s="92"/>
    </row>
    <row r="20" spans="1:26" ht="84.95" customHeight="1" x14ac:dyDescent="0.15">
      <c r="A20" s="23"/>
      <c r="B20" s="23"/>
      <c r="C20" s="42" t="str">
        <f>IFERROR(IF(测量值!P$2 &lt;&gt; "",测量值!P$2,“”),"")</f>
        <v/>
      </c>
      <c r="D20" s="42" t="str">
        <f>IFERROR(AVERAGE(测量值!P$3:P$5),"")</f>
        <v/>
      </c>
      <c r="E20" s="42" t="str">
        <f>IFERROR(AVERAGE(测量值!P$6:P$8),"")</f>
        <v/>
      </c>
      <c r="F20" s="42" t="str">
        <f>IFERROR(AVERAGE(测量值!P$9:P$11),"")</f>
        <v/>
      </c>
      <c r="G20" s="42" t="str">
        <f>IFERROR(AVERAGE(测量值!P$12:P$14),"")</f>
        <v/>
      </c>
      <c r="H20" s="42" t="str">
        <f>IFERROR(IF(测量值!P$15 &lt;&gt; "",测量值!P$15,“”),"")</f>
        <v/>
      </c>
      <c r="I20" s="42" t="str">
        <f>IFERROR(AVERAGE(测量值!$P$16:$P$18),"")</f>
        <v/>
      </c>
      <c r="J20" s="42" t="str">
        <f>IFERROR(AVERAGE(测量值!$P$19:$P$21),"")</f>
        <v/>
      </c>
      <c r="K20" s="42" t="str">
        <f>IFERROR(AVERAGE(测量值!$P$22:$P$24),"")</f>
        <v/>
      </c>
      <c r="L20" s="42" t="str">
        <f>IFERROR(AVERAGE(测量值!$P$25:$P$27),"")</f>
        <v/>
      </c>
      <c r="M20" s="42" t="str">
        <f>IFERROR(IF(测量值!P$28 &lt;&gt; "",测量值!P$28,“”),"")</f>
        <v/>
      </c>
      <c r="N20" s="42" t="str">
        <f>IFERROR(AVERAGE(测量值!$P$29:$P$31),"")</f>
        <v/>
      </c>
      <c r="O20" s="42" t="str">
        <f>IFERROR(AVERAGE(测量值!$P$32:$P$34),"")</f>
        <v/>
      </c>
      <c r="P20" s="42" t="str">
        <f>IFERROR(AVERAGE(测量值!$P$35:$P$37),"")</f>
        <v/>
      </c>
      <c r="Q20" s="42" t="str">
        <f>IFERROR(AVERAGE(测量值!$P$38:$P$40),"")</f>
        <v/>
      </c>
      <c r="R20" s="42" t="str">
        <f>IFERROR(IF(测量值!P$41 &lt;&gt; "",测量值!P$41,“”),"")</f>
        <v/>
      </c>
      <c r="S20" s="42" t="str">
        <f>IFERROR(AVERAGE(测量值!$P$42:$P$44),"")</f>
        <v/>
      </c>
      <c r="T20" s="42" t="str">
        <f>IFERROR(AVERAGE(测量值!$P$45:$P$47),"")</f>
        <v/>
      </c>
      <c r="U20" s="42" t="str">
        <f>IFERROR(AVERAGE(测量值!$P$48:$P$50),"")</f>
        <v/>
      </c>
      <c r="V20" s="42" t="str">
        <f>IFERROR(AVERAGE(测量值!$P$51:$P$53),"")</f>
        <v/>
      </c>
      <c r="W20" s="24" t="s">
        <v>6</v>
      </c>
      <c r="X20" s="90"/>
      <c r="Y20" s="91"/>
      <c r="Z20" s="92"/>
    </row>
    <row r="21" spans="1:26" ht="84.95" customHeight="1" x14ac:dyDescent="0.15">
      <c r="A21" s="23"/>
      <c r="B21" s="23"/>
      <c r="C21" s="42" t="str">
        <f>IFERROR(IF(测量值!Q$2 &lt;&gt; "",测量值!Q$2,“”),"")</f>
        <v/>
      </c>
      <c r="D21" s="42" t="str">
        <f>IFERROR(AVERAGE(测量值!Q$3:Q$5),"")</f>
        <v/>
      </c>
      <c r="E21" s="42" t="str">
        <f>IFERROR(AVERAGE(测量值!Q$6:Q$8),"")</f>
        <v/>
      </c>
      <c r="F21" s="42" t="str">
        <f>IFERROR(AVERAGE(测量值!Q$9:Q$11),"")</f>
        <v/>
      </c>
      <c r="G21" s="42" t="str">
        <f>IFERROR(AVERAGE(测量值!Q$12:Q$14),"")</f>
        <v/>
      </c>
      <c r="H21" s="42" t="str">
        <f>IFERROR(IF(测量值!Q$15 &lt;&gt; "",测量值!Q$15,“”),"")</f>
        <v/>
      </c>
      <c r="I21" s="42" t="str">
        <f>IFERROR(AVERAGE(测量值!$Q$16:$Q$18),"")</f>
        <v/>
      </c>
      <c r="J21" s="42" t="str">
        <f>IFERROR(AVERAGE(测量值!$Q$19:$Q$21),"")</f>
        <v/>
      </c>
      <c r="K21" s="42" t="str">
        <f>IFERROR(AVERAGE(测量值!$Q$22:$Q$24),"")</f>
        <v/>
      </c>
      <c r="L21" s="42" t="str">
        <f>IFERROR(AVERAGE(测量值!$Q$25:$Q$27),"")</f>
        <v/>
      </c>
      <c r="M21" s="42" t="str">
        <f>IFERROR(IF(测量值!Q$28 &lt;&gt; "",测量值!Q$28,“”),"")</f>
        <v/>
      </c>
      <c r="N21" s="42" t="str">
        <f>IFERROR(AVERAGE(测量值!$Q$29:$Q$31),"")</f>
        <v/>
      </c>
      <c r="O21" s="42" t="str">
        <f>IFERROR(AVERAGE(测量值!$Q$32:$Q$34),"")</f>
        <v/>
      </c>
      <c r="P21" s="42" t="str">
        <f>IFERROR(AVERAGE(测量值!$Q$35:$Q$37),"")</f>
        <v/>
      </c>
      <c r="Q21" s="42" t="str">
        <f>IFERROR(AVERAGE(测量值!$Q$38:$Q$40),"")</f>
        <v/>
      </c>
      <c r="R21" s="42" t="str">
        <f>IFERROR(IF(测量值!Q$41 &lt;&gt; "",测量值!Q$41,“”),"")</f>
        <v/>
      </c>
      <c r="S21" s="42" t="str">
        <f>IFERROR(AVERAGE(测量值!$Q$42:$Q$44),"")</f>
        <v/>
      </c>
      <c r="T21" s="42" t="str">
        <f>IFERROR(AVERAGE(测量值!$Q$45:$Q$47),"")</f>
        <v/>
      </c>
      <c r="U21" s="42" t="str">
        <f>IFERROR(AVERAGE(测量值!$Q$48:$Q$50),"")</f>
        <v/>
      </c>
      <c r="V21" s="42" t="str">
        <f>IFERROR(AVERAGE(测量值!$Q$51:$Q$53),"")</f>
        <v/>
      </c>
      <c r="W21" s="24" t="s">
        <v>6</v>
      </c>
      <c r="X21" s="90"/>
      <c r="Y21" s="91"/>
      <c r="Z21" s="92"/>
    </row>
    <row r="22" spans="1:26" ht="84.95" customHeight="1" x14ac:dyDescent="0.15">
      <c r="A22" s="93" t="s">
        <v>33</v>
      </c>
      <c r="B22" s="63"/>
      <c r="C22" s="42" t="str">
        <f>IFERROR(IF(测量值!R$2 &lt;&gt; "",测量值!R$2,“”),"")</f>
        <v/>
      </c>
      <c r="D22" s="42" t="str">
        <f>IFERROR(AVERAGE(测量值!R$3:R$5),"")</f>
        <v/>
      </c>
      <c r="E22" s="42" t="str">
        <f>IFERROR(AVERAGE(测量值!R$6:R$8),"")</f>
        <v/>
      </c>
      <c r="F22" s="42" t="str">
        <f>IFERROR(AVERAGE(测量值!R$9:R$11),"")</f>
        <v/>
      </c>
      <c r="G22" s="42" t="str">
        <f>IFERROR(AVERAGE(测量值!R$12:R$14),"")</f>
        <v/>
      </c>
      <c r="H22" s="42" t="str">
        <f>IFERROR(IF(测量值!R$15 &lt;&gt; "",测量值!R$15,“”),"")</f>
        <v/>
      </c>
      <c r="I22" s="42" t="str">
        <f>IFERROR(AVERAGE(测量值!$R$16:$R$18),"")</f>
        <v/>
      </c>
      <c r="J22" s="42" t="str">
        <f>IFERROR(AVERAGE(测量值!$R$19:$R$21),"")</f>
        <v/>
      </c>
      <c r="K22" s="42" t="str">
        <f>IFERROR(AVERAGE(测量值!$R$22:$R$24),"")</f>
        <v/>
      </c>
      <c r="L22" s="42" t="str">
        <f>IFERROR(AVERAGE(测量值!$R$25:$R$27),"")</f>
        <v/>
      </c>
      <c r="M22" s="42" t="str">
        <f>IFERROR(IF(测量值!R$28 &lt;&gt; "",测量值!R$28,“”),"")</f>
        <v/>
      </c>
      <c r="N22" s="42" t="str">
        <f>IFERROR(AVERAGE(测量值!$R$29:$R$31),"")</f>
        <v/>
      </c>
      <c r="O22" s="42" t="str">
        <f>IFERROR(AVERAGE(测量值!$R$32:$R$34),"")</f>
        <v/>
      </c>
      <c r="P22" s="42" t="str">
        <f>IFERROR(AVERAGE(测量值!$R$35:$R$37),"")</f>
        <v/>
      </c>
      <c r="Q22" s="42" t="str">
        <f>IFERROR(AVERAGE(测量值!$R$38:$R$40),"")</f>
        <v/>
      </c>
      <c r="R22" s="42" t="str">
        <f>IFERROR(IF(测量值!R$41 &lt;&gt; "",测量值!R$41,“”),"")</f>
        <v/>
      </c>
      <c r="S22" s="42" t="str">
        <f>IFERROR(AVERAGE(测量值!$R$42:$R$44),"")</f>
        <v/>
      </c>
      <c r="T22" s="42" t="str">
        <f>IFERROR(AVERAGE(测量值!$R$45:$R$47),"")</f>
        <v/>
      </c>
      <c r="U22" s="42" t="str">
        <f>IFERROR(AVERAGE(测量值!$R$48:$R$50),"")</f>
        <v/>
      </c>
      <c r="V22" s="42" t="str">
        <f>IFERROR(AVERAGE(测量值!$R$51:$R$53),"")</f>
        <v/>
      </c>
      <c r="W22" s="2" t="s">
        <v>6</v>
      </c>
      <c r="X22" s="61"/>
      <c r="Y22" s="62"/>
      <c r="Z22" s="63"/>
    </row>
    <row r="23" spans="1:26" ht="84.95" customHeight="1" x14ac:dyDescent="0.15">
      <c r="A23" s="94" t="s">
        <v>74</v>
      </c>
      <c r="B23" s="63"/>
      <c r="C23" s="42" t="str">
        <f>IFERROR(IF(测量值!S$2 &lt;&gt; "",测量值!S$2,“”),"")</f>
        <v/>
      </c>
      <c r="D23" s="42" t="str">
        <f>IFERROR(AVERAGE(测量值!S$3:S$5),"")</f>
        <v/>
      </c>
      <c r="E23" s="42" t="str">
        <f>IFERROR(AVERAGE(测量值!S$6:S$8),"")</f>
        <v/>
      </c>
      <c r="F23" s="42" t="str">
        <f>IFERROR(AVERAGE(测量值!S$9:S$11),"")</f>
        <v/>
      </c>
      <c r="G23" s="42" t="str">
        <f>IFERROR(AVERAGE(测量值!S$12:S$14),"")</f>
        <v/>
      </c>
      <c r="H23" s="42" t="str">
        <f>IFERROR(IF(测量值!S$15 &lt;&gt; "",测量值!S$15,“”),"")</f>
        <v/>
      </c>
      <c r="I23" s="42" t="str">
        <f>IFERROR(AVERAGE(测量值!$S$16:$S$18),"")</f>
        <v/>
      </c>
      <c r="J23" s="42" t="str">
        <f>IFERROR(AVERAGE(测量值!$S$19:$S$21),"")</f>
        <v/>
      </c>
      <c r="K23" s="42" t="str">
        <f>IFERROR(AVERAGE(测量值!$S$22:$S$24),"")</f>
        <v/>
      </c>
      <c r="L23" s="42" t="str">
        <f>IFERROR(AVERAGE(测量值!$S$25:$S$27),"")</f>
        <v/>
      </c>
      <c r="M23" s="42" t="str">
        <f>IFERROR(IF(测量值!S$28 &lt;&gt; "",测量值!S$28,“”),"")</f>
        <v/>
      </c>
      <c r="N23" s="42" t="str">
        <f>IFERROR(AVERAGE(测量值!$S$29:$S$31),"")</f>
        <v/>
      </c>
      <c r="O23" s="42" t="str">
        <f>IFERROR(AVERAGE(测量值!$S$32:$S$34),"")</f>
        <v/>
      </c>
      <c r="P23" s="42" t="str">
        <f>IFERROR(AVERAGE(测量值!$S$35:$S$37),"")</f>
        <v/>
      </c>
      <c r="Q23" s="42" t="str">
        <f>IFERROR(AVERAGE(测量值!$S$38:$S$40),"")</f>
        <v/>
      </c>
      <c r="R23" s="42" t="str">
        <f>IFERROR(IF(测量值!S$41 &lt;&gt; "",测量值!S$41,“”),"")</f>
        <v/>
      </c>
      <c r="S23" s="42" t="str">
        <f>IFERROR(AVERAGE(测量值!$S$42:$S$44),"")</f>
        <v/>
      </c>
      <c r="T23" s="42" t="str">
        <f>IFERROR(AVERAGE(测量值!$S$45:$S$47),"")</f>
        <v/>
      </c>
      <c r="U23" s="42" t="str">
        <f>IFERROR(AVERAGE(测量值!$S$48:$S$50),"")</f>
        <v/>
      </c>
      <c r="V23" s="42" t="str">
        <f>IFERROR(AVERAGE(测量值!$S$51:$S$53),"")</f>
        <v/>
      </c>
      <c r="W23" s="2" t="s">
        <v>6</v>
      </c>
      <c r="X23" s="61"/>
      <c r="Y23" s="62"/>
      <c r="Z23" s="63"/>
    </row>
    <row r="24" spans="1:26" ht="46.5" x14ac:dyDescent="0.55000000000000004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67.5" customHeight="1" x14ac:dyDescent="0.55000000000000004">
      <c r="A25" s="61" t="s">
        <v>8</v>
      </c>
      <c r="B25" s="63"/>
      <c r="C25" s="61" t="s">
        <v>20</v>
      </c>
      <c r="D25" s="62"/>
      <c r="E25" s="62"/>
      <c r="F25" s="62"/>
      <c r="G25" s="62"/>
      <c r="H25" s="63"/>
      <c r="I25" s="61" t="s">
        <v>19</v>
      </c>
      <c r="J25" s="62"/>
      <c r="K25" s="62"/>
      <c r="L25" s="62"/>
      <c r="M25" s="63"/>
      <c r="N25" s="61" t="s">
        <v>18</v>
      </c>
      <c r="O25" s="62"/>
      <c r="P25" s="62"/>
      <c r="Q25" s="62"/>
      <c r="R25" s="62"/>
      <c r="S25" s="62"/>
      <c r="T25" s="62"/>
      <c r="U25" s="62"/>
      <c r="V25" s="63"/>
      <c r="W25" s="26" t="s">
        <v>3</v>
      </c>
      <c r="X25" s="95"/>
      <c r="Y25" s="96"/>
      <c r="Z25" s="97"/>
    </row>
    <row r="26" spans="1:26" ht="28.5" customHeight="1" x14ac:dyDescent="0.55000000000000004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71.25" customHeight="1" x14ac:dyDescent="0.55000000000000004">
      <c r="A27" s="61" t="s">
        <v>9</v>
      </c>
      <c r="B27" s="62"/>
      <c r="C27" s="62"/>
      <c r="D27" s="63"/>
      <c r="E27" s="61" t="s">
        <v>21</v>
      </c>
      <c r="F27" s="62"/>
      <c r="G27" s="62"/>
      <c r="H27" s="62"/>
      <c r="I27" s="62"/>
      <c r="J27" s="62"/>
      <c r="K27" s="62"/>
      <c r="L27" s="62"/>
      <c r="M27" s="63"/>
      <c r="N27" s="61" t="s">
        <v>6</v>
      </c>
      <c r="O27" s="62"/>
      <c r="P27" s="62"/>
      <c r="Q27" s="62"/>
      <c r="R27" s="62"/>
      <c r="S27" s="62"/>
      <c r="T27" s="62"/>
      <c r="U27" s="62"/>
      <c r="V27" s="63"/>
      <c r="W27" s="26" t="s">
        <v>3</v>
      </c>
      <c r="X27" s="95"/>
      <c r="Y27" s="96"/>
      <c r="Z27" s="97"/>
    </row>
    <row r="28" spans="1:26" ht="69.75" customHeight="1" x14ac:dyDescent="0.15">
      <c r="A28" s="61" t="s">
        <v>29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3"/>
      <c r="N28" s="61" t="s">
        <v>30</v>
      </c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3"/>
    </row>
    <row r="29" spans="1:26" ht="60" customHeight="1" x14ac:dyDescent="0.15">
      <c r="A29" s="98"/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100"/>
      <c r="N29" s="98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100"/>
    </row>
    <row r="30" spans="1:26" ht="60" customHeight="1" x14ac:dyDescent="0.15">
      <c r="A30" s="101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3"/>
      <c r="N30" s="101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3"/>
    </row>
    <row r="31" spans="1:26" ht="60" customHeight="1" x14ac:dyDescent="0.15">
      <c r="A31" s="101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3"/>
      <c r="N31" s="101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3"/>
    </row>
    <row r="32" spans="1:26" ht="60" customHeight="1" x14ac:dyDescent="0.15">
      <c r="A32" s="101"/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3"/>
      <c r="N32" s="101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3"/>
    </row>
    <row r="33" spans="1:26" ht="60" customHeight="1" x14ac:dyDescent="0.15">
      <c r="A33" s="101"/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3"/>
      <c r="N33" s="101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3"/>
    </row>
    <row r="34" spans="1:26" ht="60" customHeight="1" x14ac:dyDescent="0.15">
      <c r="A34" s="101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3"/>
      <c r="N34" s="101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3"/>
    </row>
    <row r="35" spans="1:26" ht="60" customHeight="1" x14ac:dyDescent="0.15">
      <c r="A35" s="101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3"/>
      <c r="N35" s="101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3"/>
    </row>
    <row r="36" spans="1:26" ht="60" customHeight="1" x14ac:dyDescent="0.15">
      <c r="A36" s="101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3"/>
      <c r="N36" s="101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3"/>
    </row>
    <row r="37" spans="1:26" ht="60" customHeight="1" x14ac:dyDescent="0.15">
      <c r="A37" s="101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3"/>
      <c r="N37" s="101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3"/>
    </row>
    <row r="38" spans="1:26" ht="262.5" customHeight="1" x14ac:dyDescent="0.15">
      <c r="A38" s="101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3"/>
      <c r="N38" s="101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3"/>
    </row>
    <row r="39" spans="1:26" ht="108.75" customHeight="1" x14ac:dyDescent="0.15">
      <c r="A39" s="101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3"/>
      <c r="N39" s="101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3"/>
    </row>
    <row r="40" spans="1:26" ht="60" customHeight="1" x14ac:dyDescent="0.15">
      <c r="A40" s="104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6"/>
      <c r="N40" s="104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6"/>
    </row>
    <row r="41" spans="1:26" s="28" customFormat="1" ht="54.95" customHeight="1" x14ac:dyDescent="0.4">
      <c r="A41" s="107" t="s">
        <v>10</v>
      </c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27"/>
      <c r="X41" s="27"/>
      <c r="Y41" s="27"/>
      <c r="Z41" s="27"/>
    </row>
    <row r="42" spans="1:26" s="28" customFormat="1" ht="54.95" customHeight="1" x14ac:dyDescent="0.3">
      <c r="A42" s="108" t="s">
        <v>22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30"/>
      <c r="M42" s="30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</row>
    <row r="43" spans="1:26" s="28" customFormat="1" ht="54.95" customHeight="1" x14ac:dyDescent="0.3">
      <c r="A43" s="108" t="s">
        <v>23</v>
      </c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30" t="s">
        <v>44</v>
      </c>
      <c r="M43" s="30"/>
      <c r="N43" s="108" t="s">
        <v>43</v>
      </c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</row>
    <row r="44" spans="1:26" s="28" customFormat="1" ht="54.95" customHeight="1" x14ac:dyDescent="0.3">
      <c r="A44" s="108" t="s">
        <v>24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30"/>
      <c r="M44" s="30"/>
      <c r="N44" s="29" t="s">
        <v>47</v>
      </c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s="28" customFormat="1" ht="54.95" customHeight="1" x14ac:dyDescent="0.3">
      <c r="A45" s="108" t="s">
        <v>35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30"/>
      <c r="M45" s="30"/>
      <c r="N45" s="29" t="s">
        <v>48</v>
      </c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s="28" customFormat="1" ht="54.95" customHeight="1" x14ac:dyDescent="0.3">
      <c r="A46" s="109" t="s">
        <v>25</v>
      </c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30" t="s">
        <v>45</v>
      </c>
      <c r="M46" s="30"/>
      <c r="N46" s="29" t="s">
        <v>49</v>
      </c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s="28" customFormat="1" ht="54.95" customHeight="1" x14ac:dyDescent="0.4">
      <c r="A47" s="29" t="s">
        <v>51</v>
      </c>
      <c r="B47" s="27"/>
      <c r="C47" s="27"/>
      <c r="D47" s="27"/>
      <c r="E47" s="27"/>
      <c r="F47" s="27"/>
      <c r="G47" s="27"/>
      <c r="H47" s="27"/>
      <c r="I47" s="27"/>
      <c r="J47" s="27"/>
      <c r="K47" s="30"/>
      <c r="L47" s="30" t="s">
        <v>46</v>
      </c>
      <c r="M47" s="30"/>
      <c r="N47" s="29" t="s">
        <v>50</v>
      </c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s="28" customFormat="1" ht="39.75" customHeight="1" x14ac:dyDescent="0.4">
      <c r="A48" s="31"/>
      <c r="B48" s="90" t="s">
        <v>11</v>
      </c>
      <c r="C48" s="91"/>
      <c r="D48" s="91"/>
      <c r="E48" s="92"/>
      <c r="F48" s="32"/>
      <c r="G48" s="16"/>
      <c r="H48" s="16"/>
      <c r="I48" s="16"/>
      <c r="J48" s="16"/>
      <c r="K48" s="16"/>
      <c r="L48" s="110" t="s">
        <v>17</v>
      </c>
      <c r="M48" s="110"/>
      <c r="N48" s="110"/>
      <c r="O48" s="110"/>
      <c r="P48" s="33"/>
      <c r="Q48" s="33"/>
      <c r="R48" s="33"/>
      <c r="S48" s="33"/>
      <c r="T48" s="15"/>
      <c r="U48" s="110"/>
      <c r="V48" s="110"/>
      <c r="W48" s="110"/>
      <c r="X48" s="15"/>
      <c r="Y48" s="15"/>
      <c r="Z48" s="15"/>
    </row>
    <row r="49" spans="1:22" ht="30" customHeight="1" x14ac:dyDescent="0.25">
      <c r="A49" s="111"/>
      <c r="B49" s="112"/>
      <c r="C49" s="112"/>
      <c r="D49" s="112"/>
      <c r="E49" s="112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</row>
    <row r="50" spans="1:22" ht="30" customHeight="1" x14ac:dyDescent="0.25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</row>
    <row r="51" spans="1:22" ht="30" customHeight="1" x14ac:dyDescent="0.2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</row>
    <row r="52" spans="1:22" ht="30" customHeight="1" x14ac:dyDescent="0.25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</row>
    <row r="53" spans="1:22" ht="30" customHeight="1" x14ac:dyDescent="0.25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</row>
    <row r="54" spans="1:22" ht="30" customHeight="1" x14ac:dyDescent="0.25">
      <c r="A54" s="116"/>
      <c r="B54" s="116"/>
      <c r="C54" s="116"/>
      <c r="D54" s="116"/>
      <c r="E54" s="116"/>
      <c r="F54" s="116"/>
      <c r="G54" s="116"/>
      <c r="H54" s="116"/>
      <c r="I54" s="116"/>
      <c r="J54" s="116"/>
      <c r="K54" s="116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</row>
    <row r="55" spans="1:22" ht="30" customHeight="1" x14ac:dyDescent="0.25">
      <c r="A55" s="36"/>
      <c r="B55" s="37"/>
      <c r="C55" s="37"/>
      <c r="D55" s="37"/>
      <c r="E55" s="37"/>
      <c r="F55" s="37"/>
      <c r="G55" s="37"/>
      <c r="H55" s="37"/>
      <c r="I55" s="37"/>
      <c r="J55" s="37"/>
      <c r="K55" s="35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</row>
    <row r="56" spans="1:22" ht="30" customHeight="1" x14ac:dyDescent="0.25">
      <c r="B56" s="117"/>
      <c r="C56" s="118"/>
      <c r="D56" s="118"/>
      <c r="E56" s="119"/>
      <c r="F56" s="38"/>
      <c r="G56" s="39"/>
      <c r="H56" s="39"/>
      <c r="I56" s="39"/>
      <c r="J56" s="120"/>
      <c r="K56" s="120"/>
      <c r="L56" s="120"/>
      <c r="M56" s="120"/>
      <c r="N56" s="120"/>
      <c r="O56" s="38"/>
      <c r="P56" s="38"/>
      <c r="Q56" s="38"/>
      <c r="R56" s="38"/>
      <c r="S56" s="38"/>
      <c r="U56" s="40"/>
      <c r="V56" s="41"/>
    </row>
    <row r="57" spans="1:22" ht="30" customHeight="1" x14ac:dyDescent="0.25"/>
    <row r="58" spans="1:22" ht="30" customHeight="1" x14ac:dyDescent="0.25"/>
    <row r="59" spans="1:22" ht="30" customHeight="1" x14ac:dyDescent="0.25"/>
    <row r="60" spans="1:22" ht="30" customHeight="1" x14ac:dyDescent="0.25"/>
    <row r="61" spans="1:22" ht="30" customHeight="1" x14ac:dyDescent="0.25"/>
    <row r="62" spans="1:22" ht="30" customHeight="1" x14ac:dyDescent="0.25"/>
    <row r="63" spans="1:22" ht="30" customHeight="1" x14ac:dyDescent="0.25"/>
    <row r="64" spans="1:22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</sheetData>
  <sheetProtection algorithmName="SHA-512" hashValue="DDE4E067GkEeP0rAAHJomVRFMWji+aEAJHuSS+ik0jG5Iy8YSlnj5hgvw2jYDQQis8oNmKYulqiyx6gfJgT+Xg==" saltValue="lrpWM/3aoD6aC0rsmBFpTQ==" spinCount="100000" sheet="1"/>
  <mergeCells count="71">
    <mergeCell ref="A54:K54"/>
    <mergeCell ref="L54:V54"/>
    <mergeCell ref="L55:V55"/>
    <mergeCell ref="B56:E56"/>
    <mergeCell ref="J56:N56"/>
    <mergeCell ref="A51:K51"/>
    <mergeCell ref="L51:V51"/>
    <mergeCell ref="A52:K52"/>
    <mergeCell ref="L52:V52"/>
    <mergeCell ref="A53:K53"/>
    <mergeCell ref="L53:V53"/>
    <mergeCell ref="B48:E48"/>
    <mergeCell ref="L48:O48"/>
    <mergeCell ref="U48:W48"/>
    <mergeCell ref="A49:V49"/>
    <mergeCell ref="A50:K50"/>
    <mergeCell ref="A43:K43"/>
    <mergeCell ref="N43:Z43"/>
    <mergeCell ref="A44:K44"/>
    <mergeCell ref="A45:K45"/>
    <mergeCell ref="A46:K46"/>
    <mergeCell ref="A29:M40"/>
    <mergeCell ref="N29:Z40"/>
    <mergeCell ref="A41:V41"/>
    <mergeCell ref="A42:K42"/>
    <mergeCell ref="N42:Z42"/>
    <mergeCell ref="A27:D27"/>
    <mergeCell ref="E27:M27"/>
    <mergeCell ref="N27:V27"/>
    <mergeCell ref="X27:Z27"/>
    <mergeCell ref="A28:M28"/>
    <mergeCell ref="N28:Z28"/>
    <mergeCell ref="A22:B22"/>
    <mergeCell ref="X22:Z22"/>
    <mergeCell ref="A23:B23"/>
    <mergeCell ref="X23:Z23"/>
    <mergeCell ref="A25:B25"/>
    <mergeCell ref="C25:H25"/>
    <mergeCell ref="I25:M25"/>
    <mergeCell ref="N25:V25"/>
    <mergeCell ref="X25:Z25"/>
    <mergeCell ref="X17:Z17"/>
    <mergeCell ref="X18:Z18"/>
    <mergeCell ref="X19:Z19"/>
    <mergeCell ref="X20:Z20"/>
    <mergeCell ref="X21:Z21"/>
    <mergeCell ref="X12:Z12"/>
    <mergeCell ref="X13:Z13"/>
    <mergeCell ref="X14:Z14"/>
    <mergeCell ref="X15:Z15"/>
    <mergeCell ref="X16:Z16"/>
    <mergeCell ref="W8:W11"/>
    <mergeCell ref="X8:Z11"/>
    <mergeCell ref="C9:G9"/>
    <mergeCell ref="H9:L9"/>
    <mergeCell ref="M9:Q9"/>
    <mergeCell ref="R9:V9"/>
    <mergeCell ref="D10:F10"/>
    <mergeCell ref="I10:K10"/>
    <mergeCell ref="N10:P10"/>
    <mergeCell ref="S10:U10"/>
    <mergeCell ref="A6:D6"/>
    <mergeCell ref="F6:G6"/>
    <mergeCell ref="A8:A11"/>
    <mergeCell ref="C8:L8"/>
    <mergeCell ref="M8:V8"/>
    <mergeCell ref="A1:U4"/>
    <mergeCell ref="V1:W1"/>
    <mergeCell ref="X1:Z1"/>
    <mergeCell ref="V2:W4"/>
    <mergeCell ref="X2:Z4"/>
  </mergeCells>
  <phoneticPr fontId="1" type="noConversion"/>
  <pageMargins left="0.17" right="0" top="0" bottom="0" header="0.31496062992125984" footer="0.31496062992125984"/>
  <pageSetup paperSize="9" scale="2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5" sqref="F15"/>
    </sheetView>
  </sheetViews>
  <sheetFormatPr defaultRowHeight="14.25" x14ac:dyDescent="0.15"/>
  <sheetData/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3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R2" sqref="R2:R53"/>
    </sheetView>
  </sheetViews>
  <sheetFormatPr defaultColWidth="8.75" defaultRowHeight="12" x14ac:dyDescent="0.15"/>
  <cols>
    <col min="1" max="1" width="6.5" style="1" bestFit="1" customWidth="1"/>
    <col min="2" max="2" width="3.125" style="1" bestFit="1" customWidth="1"/>
    <col min="3" max="3" width="33.25" style="1" bestFit="1" customWidth="1"/>
    <col min="4" max="7" width="19.25" style="1" hidden="1" customWidth="1"/>
    <col min="8" max="16" width="9.125" style="1" bestFit="1" customWidth="1"/>
    <col min="17" max="17" width="10" style="1" bestFit="1" customWidth="1"/>
    <col min="18" max="19" width="11.75" style="1" bestFit="1" customWidth="1"/>
    <col min="20" max="16384" width="8.75" style="1"/>
  </cols>
  <sheetData>
    <row r="1" spans="1:19" x14ac:dyDescent="0.15">
      <c r="A1" s="124"/>
      <c r="B1" s="125"/>
      <c r="C1" s="125"/>
      <c r="D1" s="47"/>
      <c r="E1" s="47"/>
      <c r="F1" s="47"/>
      <c r="G1" s="47"/>
      <c r="H1" s="47" t="s">
        <v>63</v>
      </c>
      <c r="I1" s="47" t="s">
        <v>64</v>
      </c>
      <c r="J1" s="47" t="s">
        <v>65</v>
      </c>
      <c r="K1" s="47" t="s">
        <v>66</v>
      </c>
      <c r="L1" s="47" t="s">
        <v>67</v>
      </c>
      <c r="M1" s="47" t="s">
        <v>68</v>
      </c>
      <c r="N1" s="47" t="s">
        <v>69</v>
      </c>
      <c r="O1" s="47" t="s">
        <v>70</v>
      </c>
      <c r="P1" s="47" t="s">
        <v>71</v>
      </c>
      <c r="Q1" s="47" t="s">
        <v>72</v>
      </c>
      <c r="R1" s="47" t="s">
        <v>75</v>
      </c>
      <c r="S1" s="48" t="s">
        <v>73</v>
      </c>
    </row>
    <row r="2" spans="1:19" x14ac:dyDescent="0.15">
      <c r="A2" s="127" t="s">
        <v>53</v>
      </c>
      <c r="B2" s="126" t="s">
        <v>60</v>
      </c>
      <c r="C2" s="43" t="s">
        <v>54</v>
      </c>
      <c r="D2" s="43"/>
      <c r="E2" s="43"/>
      <c r="F2" s="43"/>
      <c r="G2" s="43"/>
      <c r="H2" s="44"/>
      <c r="I2" s="44"/>
      <c r="J2" s="44"/>
      <c r="K2" s="44"/>
      <c r="L2" s="44"/>
      <c r="M2" s="44"/>
      <c r="N2" s="44"/>
      <c r="O2" s="44"/>
      <c r="P2" s="44"/>
      <c r="Q2" s="44"/>
      <c r="R2" s="54"/>
      <c r="S2" s="49"/>
    </row>
    <row r="3" spans="1:19" x14ac:dyDescent="0.15">
      <c r="A3" s="127"/>
      <c r="B3" s="126"/>
      <c r="C3" s="121" t="s">
        <v>55</v>
      </c>
      <c r="D3" s="45"/>
      <c r="E3" s="45"/>
      <c r="F3" s="45"/>
      <c r="G3" s="4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9"/>
    </row>
    <row r="4" spans="1:19" x14ac:dyDescent="0.15">
      <c r="A4" s="127"/>
      <c r="B4" s="126"/>
      <c r="C4" s="121"/>
      <c r="D4" s="45"/>
      <c r="E4" s="45"/>
      <c r="F4" s="45"/>
      <c r="G4" s="45"/>
      <c r="H4" s="44"/>
      <c r="I4" s="44"/>
      <c r="J4" s="44"/>
      <c r="K4" s="44"/>
      <c r="L4" s="44"/>
      <c r="M4" s="44"/>
      <c r="N4" s="44"/>
      <c r="O4" s="44"/>
      <c r="P4" s="44"/>
      <c r="Q4" s="44"/>
      <c r="R4" s="54"/>
      <c r="S4" s="49"/>
    </row>
    <row r="5" spans="1:19" x14ac:dyDescent="0.15">
      <c r="A5" s="127"/>
      <c r="B5" s="126"/>
      <c r="C5" s="121"/>
      <c r="D5" s="45"/>
      <c r="E5" s="45"/>
      <c r="F5" s="45"/>
      <c r="G5" s="4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9"/>
    </row>
    <row r="6" spans="1:19" x14ac:dyDescent="0.15">
      <c r="A6" s="127"/>
      <c r="B6" s="126"/>
      <c r="C6" s="121" t="s">
        <v>56</v>
      </c>
      <c r="D6" s="45"/>
      <c r="E6" s="45"/>
      <c r="F6" s="45"/>
      <c r="G6" s="45"/>
      <c r="H6" s="44"/>
      <c r="I6" s="44"/>
      <c r="J6" s="44"/>
      <c r="K6" s="44"/>
      <c r="L6" s="44"/>
      <c r="M6" s="44"/>
      <c r="N6" s="44"/>
      <c r="O6" s="44"/>
      <c r="P6" s="44"/>
      <c r="Q6" s="44"/>
      <c r="R6" s="54"/>
      <c r="S6" s="49"/>
    </row>
    <row r="7" spans="1:19" x14ac:dyDescent="0.15">
      <c r="A7" s="127"/>
      <c r="B7" s="126"/>
      <c r="C7" s="121"/>
      <c r="D7" s="45"/>
      <c r="E7" s="45"/>
      <c r="F7" s="45"/>
      <c r="G7" s="4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9"/>
    </row>
    <row r="8" spans="1:19" x14ac:dyDescent="0.15">
      <c r="A8" s="127"/>
      <c r="B8" s="126"/>
      <c r="C8" s="121"/>
      <c r="D8" s="45"/>
      <c r="E8" s="45"/>
      <c r="F8" s="45"/>
      <c r="G8" s="45"/>
      <c r="H8" s="44"/>
      <c r="I8" s="44"/>
      <c r="J8" s="44"/>
      <c r="K8" s="44"/>
      <c r="L8" s="44"/>
      <c r="M8" s="44"/>
      <c r="N8" s="44"/>
      <c r="O8" s="44"/>
      <c r="P8" s="44"/>
      <c r="Q8" s="44"/>
      <c r="R8" s="54"/>
      <c r="S8" s="49"/>
    </row>
    <row r="9" spans="1:19" x14ac:dyDescent="0.15">
      <c r="A9" s="127"/>
      <c r="B9" s="126"/>
      <c r="C9" s="121" t="s">
        <v>57</v>
      </c>
      <c r="D9" s="45"/>
      <c r="E9" s="45"/>
      <c r="F9" s="45"/>
      <c r="G9" s="4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9"/>
    </row>
    <row r="10" spans="1:19" x14ac:dyDescent="0.15">
      <c r="A10" s="127"/>
      <c r="B10" s="126"/>
      <c r="C10" s="121"/>
      <c r="D10" s="45"/>
      <c r="E10" s="45"/>
      <c r="F10" s="45"/>
      <c r="G10" s="4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54"/>
      <c r="S10" s="49"/>
    </row>
    <row r="11" spans="1:19" x14ac:dyDescent="0.15">
      <c r="A11" s="127"/>
      <c r="B11" s="126"/>
      <c r="C11" s="121"/>
      <c r="D11" s="45"/>
      <c r="E11" s="45"/>
      <c r="F11" s="45"/>
      <c r="G11" s="4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9"/>
    </row>
    <row r="12" spans="1:19" x14ac:dyDescent="0.15">
      <c r="A12" s="127"/>
      <c r="B12" s="126"/>
      <c r="C12" s="122" t="s">
        <v>59</v>
      </c>
      <c r="D12" s="46"/>
      <c r="E12" s="46"/>
      <c r="F12" s="46"/>
      <c r="G12" s="46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54"/>
      <c r="S12" s="49"/>
    </row>
    <row r="13" spans="1:19" x14ac:dyDescent="0.15">
      <c r="A13" s="127"/>
      <c r="B13" s="126"/>
      <c r="C13" s="122"/>
      <c r="D13" s="46"/>
      <c r="E13" s="46"/>
      <c r="F13" s="46"/>
      <c r="G13" s="46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9"/>
    </row>
    <row r="14" spans="1:19" x14ac:dyDescent="0.15">
      <c r="A14" s="127"/>
      <c r="B14" s="126"/>
      <c r="C14" s="122"/>
      <c r="D14" s="46"/>
      <c r="E14" s="46"/>
      <c r="F14" s="46"/>
      <c r="G14" s="46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54"/>
      <c r="S14" s="49"/>
    </row>
    <row r="15" spans="1:19" x14ac:dyDescent="0.15">
      <c r="A15" s="127"/>
      <c r="B15" s="126" t="s">
        <v>61</v>
      </c>
      <c r="C15" s="43" t="s">
        <v>54</v>
      </c>
      <c r="D15" s="43"/>
      <c r="E15" s="43"/>
      <c r="F15" s="43"/>
      <c r="G15" s="43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9"/>
    </row>
    <row r="16" spans="1:19" x14ac:dyDescent="0.15">
      <c r="A16" s="127"/>
      <c r="B16" s="126"/>
      <c r="C16" s="121" t="s">
        <v>55</v>
      </c>
      <c r="D16" s="45"/>
      <c r="E16" s="45"/>
      <c r="F16" s="45"/>
      <c r="G16" s="45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54"/>
      <c r="S16" s="49"/>
    </row>
    <row r="17" spans="1:19" x14ac:dyDescent="0.15">
      <c r="A17" s="127"/>
      <c r="B17" s="126"/>
      <c r="C17" s="121"/>
      <c r="D17" s="45"/>
      <c r="E17" s="45"/>
      <c r="F17" s="45"/>
      <c r="G17" s="4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9"/>
    </row>
    <row r="18" spans="1:19" x14ac:dyDescent="0.15">
      <c r="A18" s="127"/>
      <c r="B18" s="126"/>
      <c r="C18" s="121"/>
      <c r="D18" s="45"/>
      <c r="E18" s="45"/>
      <c r="F18" s="45"/>
      <c r="G18" s="4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54"/>
      <c r="S18" s="49"/>
    </row>
    <row r="19" spans="1:19" x14ac:dyDescent="0.15">
      <c r="A19" s="127"/>
      <c r="B19" s="126"/>
      <c r="C19" s="121" t="s">
        <v>56</v>
      </c>
      <c r="D19" s="45"/>
      <c r="E19" s="45"/>
      <c r="F19" s="45"/>
      <c r="G19" s="4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9"/>
    </row>
    <row r="20" spans="1:19" x14ac:dyDescent="0.15">
      <c r="A20" s="127"/>
      <c r="B20" s="126"/>
      <c r="C20" s="121"/>
      <c r="D20" s="45"/>
      <c r="E20" s="45"/>
      <c r="F20" s="45"/>
      <c r="G20" s="4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54"/>
      <c r="S20" s="49"/>
    </row>
    <row r="21" spans="1:19" x14ac:dyDescent="0.15">
      <c r="A21" s="127"/>
      <c r="B21" s="126"/>
      <c r="C21" s="121"/>
      <c r="D21" s="45"/>
      <c r="E21" s="45"/>
      <c r="F21" s="45"/>
      <c r="G21" s="4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9"/>
    </row>
    <row r="22" spans="1:19" x14ac:dyDescent="0.15">
      <c r="A22" s="127"/>
      <c r="B22" s="126"/>
      <c r="C22" s="121" t="s">
        <v>57</v>
      </c>
      <c r="D22" s="45"/>
      <c r="E22" s="45"/>
      <c r="F22" s="45"/>
      <c r="G22" s="4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54"/>
      <c r="S22" s="49"/>
    </row>
    <row r="23" spans="1:19" x14ac:dyDescent="0.15">
      <c r="A23" s="127"/>
      <c r="B23" s="126"/>
      <c r="C23" s="121"/>
      <c r="D23" s="45"/>
      <c r="E23" s="45"/>
      <c r="F23" s="45"/>
      <c r="G23" s="4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9"/>
    </row>
    <row r="24" spans="1:19" x14ac:dyDescent="0.15">
      <c r="A24" s="127"/>
      <c r="B24" s="126"/>
      <c r="C24" s="121"/>
      <c r="D24" s="45"/>
      <c r="E24" s="45"/>
      <c r="F24" s="45"/>
      <c r="G24" s="4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54"/>
      <c r="S24" s="49"/>
    </row>
    <row r="25" spans="1:19" x14ac:dyDescent="0.15">
      <c r="A25" s="127"/>
      <c r="B25" s="126"/>
      <c r="C25" s="122" t="s">
        <v>59</v>
      </c>
      <c r="D25" s="46"/>
      <c r="E25" s="46"/>
      <c r="F25" s="46"/>
      <c r="G25" s="46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9"/>
    </row>
    <row r="26" spans="1:19" x14ac:dyDescent="0.15">
      <c r="A26" s="127"/>
      <c r="B26" s="126"/>
      <c r="C26" s="122"/>
      <c r="D26" s="46"/>
      <c r="E26" s="46"/>
      <c r="F26" s="46"/>
      <c r="G26" s="46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54"/>
      <c r="S26" s="49"/>
    </row>
    <row r="27" spans="1:19" x14ac:dyDescent="0.15">
      <c r="A27" s="127"/>
      <c r="B27" s="126"/>
      <c r="C27" s="122"/>
      <c r="D27" s="46"/>
      <c r="E27" s="46"/>
      <c r="F27" s="46"/>
      <c r="G27" s="46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9"/>
    </row>
    <row r="28" spans="1:19" x14ac:dyDescent="0.15">
      <c r="A28" s="127" t="s">
        <v>62</v>
      </c>
      <c r="B28" s="126" t="s">
        <v>60</v>
      </c>
      <c r="C28" s="43" t="s">
        <v>54</v>
      </c>
      <c r="D28" s="43"/>
      <c r="E28" s="43"/>
      <c r="F28" s="43"/>
      <c r="G28" s="43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54"/>
      <c r="S28" s="49"/>
    </row>
    <row r="29" spans="1:19" x14ac:dyDescent="0.15">
      <c r="A29" s="127"/>
      <c r="B29" s="126"/>
      <c r="C29" s="121" t="s">
        <v>55</v>
      </c>
      <c r="D29" s="45"/>
      <c r="E29" s="45"/>
      <c r="F29" s="45"/>
      <c r="G29" s="4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9"/>
    </row>
    <row r="30" spans="1:19" x14ac:dyDescent="0.15">
      <c r="A30" s="127"/>
      <c r="B30" s="126"/>
      <c r="C30" s="121"/>
      <c r="D30" s="45"/>
      <c r="E30" s="45"/>
      <c r="F30" s="45"/>
      <c r="G30" s="4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54"/>
      <c r="S30" s="49"/>
    </row>
    <row r="31" spans="1:19" x14ac:dyDescent="0.15">
      <c r="A31" s="127"/>
      <c r="B31" s="126"/>
      <c r="C31" s="121"/>
      <c r="D31" s="45"/>
      <c r="E31" s="45"/>
      <c r="F31" s="45"/>
      <c r="G31" s="4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9"/>
    </row>
    <row r="32" spans="1:19" x14ac:dyDescent="0.15">
      <c r="A32" s="127"/>
      <c r="B32" s="126"/>
      <c r="C32" s="121" t="s">
        <v>56</v>
      </c>
      <c r="D32" s="45"/>
      <c r="E32" s="45"/>
      <c r="F32" s="45"/>
      <c r="G32" s="4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54"/>
      <c r="S32" s="49"/>
    </row>
    <row r="33" spans="1:19" x14ac:dyDescent="0.15">
      <c r="A33" s="127"/>
      <c r="B33" s="126"/>
      <c r="C33" s="121"/>
      <c r="D33" s="45"/>
      <c r="E33" s="45"/>
      <c r="F33" s="45"/>
      <c r="G33" s="45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9"/>
    </row>
    <row r="34" spans="1:19" x14ac:dyDescent="0.15">
      <c r="A34" s="127"/>
      <c r="B34" s="126"/>
      <c r="C34" s="121"/>
      <c r="D34" s="45"/>
      <c r="E34" s="45"/>
      <c r="F34" s="45"/>
      <c r="G34" s="45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54"/>
      <c r="S34" s="49"/>
    </row>
    <row r="35" spans="1:19" x14ac:dyDescent="0.15">
      <c r="A35" s="127"/>
      <c r="B35" s="126"/>
      <c r="C35" s="121" t="s">
        <v>57</v>
      </c>
      <c r="D35" s="45"/>
      <c r="E35" s="45"/>
      <c r="F35" s="45"/>
      <c r="G35" s="45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9"/>
    </row>
    <row r="36" spans="1:19" x14ac:dyDescent="0.15">
      <c r="A36" s="127"/>
      <c r="B36" s="126"/>
      <c r="C36" s="121"/>
      <c r="D36" s="45"/>
      <c r="E36" s="45"/>
      <c r="F36" s="45"/>
      <c r="G36" s="45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54"/>
      <c r="S36" s="49"/>
    </row>
    <row r="37" spans="1:19" x14ac:dyDescent="0.15">
      <c r="A37" s="127"/>
      <c r="B37" s="126"/>
      <c r="C37" s="121"/>
      <c r="D37" s="45"/>
      <c r="E37" s="45"/>
      <c r="F37" s="45"/>
      <c r="G37" s="45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9"/>
    </row>
    <row r="38" spans="1:19" x14ac:dyDescent="0.15">
      <c r="A38" s="127"/>
      <c r="B38" s="126"/>
      <c r="C38" s="122" t="s">
        <v>59</v>
      </c>
      <c r="D38" s="46"/>
      <c r="E38" s="46"/>
      <c r="F38" s="46"/>
      <c r="G38" s="46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54"/>
      <c r="S38" s="49"/>
    </row>
    <row r="39" spans="1:19" x14ac:dyDescent="0.15">
      <c r="A39" s="127"/>
      <c r="B39" s="126"/>
      <c r="C39" s="122"/>
      <c r="D39" s="46"/>
      <c r="E39" s="46"/>
      <c r="F39" s="46"/>
      <c r="G39" s="46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9"/>
    </row>
    <row r="40" spans="1:19" x14ac:dyDescent="0.15">
      <c r="A40" s="127"/>
      <c r="B40" s="126"/>
      <c r="C40" s="122"/>
      <c r="D40" s="46"/>
      <c r="E40" s="46"/>
      <c r="F40" s="46"/>
      <c r="G40" s="46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54"/>
      <c r="S40" s="49"/>
    </row>
    <row r="41" spans="1:19" x14ac:dyDescent="0.15">
      <c r="A41" s="127"/>
      <c r="B41" s="126" t="s">
        <v>61</v>
      </c>
      <c r="C41" s="43" t="s">
        <v>54</v>
      </c>
      <c r="D41" s="43"/>
      <c r="E41" s="43"/>
      <c r="F41" s="43"/>
      <c r="G41" s="43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9"/>
    </row>
    <row r="42" spans="1:19" x14ac:dyDescent="0.15">
      <c r="A42" s="127"/>
      <c r="B42" s="126"/>
      <c r="C42" s="121" t="s">
        <v>55</v>
      </c>
      <c r="D42" s="45"/>
      <c r="E42" s="45"/>
      <c r="F42" s="45"/>
      <c r="G42" s="45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54"/>
      <c r="S42" s="49"/>
    </row>
    <row r="43" spans="1:19" x14ac:dyDescent="0.15">
      <c r="A43" s="127"/>
      <c r="B43" s="126"/>
      <c r="C43" s="121"/>
      <c r="D43" s="45"/>
      <c r="E43" s="45"/>
      <c r="F43" s="45"/>
      <c r="G43" s="45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9"/>
    </row>
    <row r="44" spans="1:19" x14ac:dyDescent="0.15">
      <c r="A44" s="127"/>
      <c r="B44" s="126"/>
      <c r="C44" s="121"/>
      <c r="D44" s="45"/>
      <c r="E44" s="45"/>
      <c r="F44" s="45"/>
      <c r="G44" s="45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54"/>
      <c r="S44" s="49"/>
    </row>
    <row r="45" spans="1:19" x14ac:dyDescent="0.15">
      <c r="A45" s="127"/>
      <c r="B45" s="126"/>
      <c r="C45" s="121" t="s">
        <v>56</v>
      </c>
      <c r="D45" s="45"/>
      <c r="E45" s="45"/>
      <c r="F45" s="45"/>
      <c r="G45" s="45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9"/>
    </row>
    <row r="46" spans="1:19" x14ac:dyDescent="0.15">
      <c r="A46" s="127"/>
      <c r="B46" s="126"/>
      <c r="C46" s="121"/>
      <c r="D46" s="45"/>
      <c r="E46" s="45"/>
      <c r="F46" s="45"/>
      <c r="G46" s="45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54"/>
      <c r="S46" s="49"/>
    </row>
    <row r="47" spans="1:19" x14ac:dyDescent="0.15">
      <c r="A47" s="127"/>
      <c r="B47" s="126"/>
      <c r="C47" s="121"/>
      <c r="D47" s="45"/>
      <c r="E47" s="45"/>
      <c r="F47" s="45"/>
      <c r="G47" s="45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9"/>
    </row>
    <row r="48" spans="1:19" x14ac:dyDescent="0.15">
      <c r="A48" s="127"/>
      <c r="B48" s="126"/>
      <c r="C48" s="121" t="s">
        <v>57</v>
      </c>
      <c r="D48" s="45"/>
      <c r="E48" s="45"/>
      <c r="F48" s="45"/>
      <c r="G48" s="45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54"/>
      <c r="S48" s="49"/>
    </row>
    <row r="49" spans="1:19" x14ac:dyDescent="0.15">
      <c r="A49" s="127"/>
      <c r="B49" s="126"/>
      <c r="C49" s="121"/>
      <c r="D49" s="45"/>
      <c r="E49" s="45"/>
      <c r="F49" s="45"/>
      <c r="G49" s="45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9"/>
    </row>
    <row r="50" spans="1:19" x14ac:dyDescent="0.15">
      <c r="A50" s="127"/>
      <c r="B50" s="126"/>
      <c r="C50" s="121"/>
      <c r="D50" s="45"/>
      <c r="E50" s="45"/>
      <c r="F50" s="45"/>
      <c r="G50" s="45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54"/>
      <c r="S50" s="49"/>
    </row>
    <row r="51" spans="1:19" x14ac:dyDescent="0.15">
      <c r="A51" s="127"/>
      <c r="B51" s="126"/>
      <c r="C51" s="122" t="s">
        <v>59</v>
      </c>
      <c r="D51" s="46"/>
      <c r="E51" s="46"/>
      <c r="F51" s="46"/>
      <c r="G51" s="46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9"/>
    </row>
    <row r="52" spans="1:19" x14ac:dyDescent="0.15">
      <c r="A52" s="127"/>
      <c r="B52" s="126"/>
      <c r="C52" s="122"/>
      <c r="D52" s="46"/>
      <c r="E52" s="46"/>
      <c r="F52" s="46"/>
      <c r="G52" s="46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54"/>
      <c r="S52" s="49"/>
    </row>
    <row r="53" spans="1:19" ht="12.75" thickBot="1" x14ac:dyDescent="0.2">
      <c r="A53" s="128"/>
      <c r="B53" s="129"/>
      <c r="C53" s="123"/>
      <c r="D53" s="50"/>
      <c r="E53" s="50"/>
      <c r="F53" s="50"/>
      <c r="G53" s="50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44"/>
      <c r="S53" s="52"/>
    </row>
  </sheetData>
  <sheetProtection password="DA07" sheet="1" objects="1"/>
  <mergeCells count="23">
    <mergeCell ref="A1:C1"/>
    <mergeCell ref="B2:B14"/>
    <mergeCell ref="B15:B27"/>
    <mergeCell ref="A2:A27"/>
    <mergeCell ref="A28:A53"/>
    <mergeCell ref="B28:B40"/>
    <mergeCell ref="C35:C37"/>
    <mergeCell ref="C38:C40"/>
    <mergeCell ref="B41:B53"/>
    <mergeCell ref="C3:C5"/>
    <mergeCell ref="C6:C8"/>
    <mergeCell ref="C9:C11"/>
    <mergeCell ref="C12:C14"/>
    <mergeCell ref="C16:C18"/>
    <mergeCell ref="C42:C44"/>
    <mergeCell ref="C45:C47"/>
    <mergeCell ref="C48:C50"/>
    <mergeCell ref="C51:C53"/>
    <mergeCell ref="C19:C21"/>
    <mergeCell ref="C22:C24"/>
    <mergeCell ref="C25:C27"/>
    <mergeCell ref="C29:C31"/>
    <mergeCell ref="C32:C34"/>
  </mergeCells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034C（最新)</vt:lpstr>
      <vt:lpstr>Sheet1</vt:lpstr>
      <vt:lpstr>测量值</vt:lpstr>
      <vt:lpstr>'034C（最新)'!Print_Area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许非凡</dc:creator>
  <cp:lastModifiedBy>唐辉</cp:lastModifiedBy>
  <cp:lastPrinted>2018-06-19T00:49:11Z</cp:lastPrinted>
  <dcterms:created xsi:type="dcterms:W3CDTF">1996-12-17T01:32:42Z</dcterms:created>
  <dcterms:modified xsi:type="dcterms:W3CDTF">2018-12-27T06:23:36Z</dcterms:modified>
</cp:coreProperties>
</file>