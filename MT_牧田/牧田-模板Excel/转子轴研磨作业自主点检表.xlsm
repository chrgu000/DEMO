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\工作项目\MT_牧田\牧田-模板Excel\"/>
    </mc:Choice>
  </mc:AlternateContent>
  <bookViews>
    <workbookView xWindow="240" yWindow="108" windowWidth="11712" windowHeight="9120" activeTab="1"/>
  </bookViews>
  <sheets>
    <sheet name="轴加工" sheetId="1" r:id="rId1"/>
    <sheet name="测量值" sheetId="3" r:id="rId2"/>
    <sheet name="范围值" sheetId="2" state="hidden" r:id="rId3"/>
  </sheets>
  <calcPr calcId="162913"/>
</workbook>
</file>

<file path=xl/calcChain.xml><?xml version="1.0" encoding="utf-8"?>
<calcChain xmlns="http://schemas.openxmlformats.org/spreadsheetml/2006/main">
  <c r="D13" i="1" l="1"/>
  <c r="D14" i="1"/>
  <c r="D15" i="1"/>
  <c r="M8" i="1" l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7" i="1"/>
  <c r="D7" i="1" l="1"/>
  <c r="D8" i="1"/>
  <c r="D9" i="1"/>
  <c r="F7" i="1"/>
  <c r="D10" i="1" l="1"/>
  <c r="D11" i="1"/>
  <c r="D12" i="1"/>
  <c r="D16" i="1"/>
  <c r="D17" i="1"/>
  <c r="D18" i="1"/>
  <c r="D19" i="1"/>
  <c r="D20" i="1"/>
  <c r="D21" i="1"/>
  <c r="H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G8" i="1" l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8" i="1"/>
  <c r="G7" i="1"/>
</calcChain>
</file>

<file path=xl/sharedStrings.xml><?xml version="1.0" encoding="utf-8"?>
<sst xmlns="http://schemas.openxmlformats.org/spreadsheetml/2006/main" count="144" uniqueCount="87">
  <si>
    <t>时间</t>
    <phoneticPr fontId="2" type="noConversion"/>
  </si>
  <si>
    <t>①</t>
    <phoneticPr fontId="2" type="noConversion"/>
  </si>
  <si>
    <t>②</t>
    <phoneticPr fontId="2" type="noConversion"/>
  </si>
  <si>
    <t>③</t>
    <phoneticPr fontId="2" type="noConversion"/>
  </si>
  <si>
    <t>④</t>
    <phoneticPr fontId="2" type="noConversion"/>
  </si>
  <si>
    <t>⑤</t>
    <phoneticPr fontId="2" type="noConversion"/>
  </si>
  <si>
    <t>⑦</t>
    <phoneticPr fontId="2" type="noConversion"/>
  </si>
  <si>
    <t>⑥</t>
    <phoneticPr fontId="2" type="noConversion"/>
  </si>
  <si>
    <t>⑧</t>
    <phoneticPr fontId="2" type="noConversion"/>
  </si>
  <si>
    <t>⑩</t>
    <phoneticPr fontId="2" type="noConversion"/>
  </si>
  <si>
    <t>⑨</t>
    <phoneticPr fontId="2" type="noConversion"/>
  </si>
  <si>
    <t>Ａ、游标卡尺</t>
    <phoneticPr fontId="2" type="noConversion"/>
  </si>
  <si>
    <t>B、数显卡尺</t>
    <phoneticPr fontId="2" type="noConversion"/>
  </si>
  <si>
    <t>C、普通千分尺</t>
    <phoneticPr fontId="2" type="noConversion"/>
  </si>
  <si>
    <t>D、叶片千分尺</t>
    <phoneticPr fontId="2" type="noConversion"/>
  </si>
  <si>
    <t>E、盘式千分尺</t>
    <phoneticPr fontId="2" type="noConversion"/>
  </si>
  <si>
    <t>F、高度尺</t>
    <phoneticPr fontId="2" type="noConversion"/>
  </si>
  <si>
    <t>G、百分表</t>
    <phoneticPr fontId="2" type="noConversion"/>
  </si>
  <si>
    <t>H、投影仪</t>
    <phoneticPr fontId="2" type="noConversion"/>
  </si>
  <si>
    <t>L、偏置卡尺</t>
    <phoneticPr fontId="2" type="noConversion"/>
  </si>
  <si>
    <t>M、数显千分尺</t>
    <phoneticPr fontId="2" type="noConversion"/>
  </si>
  <si>
    <t>N、杠杆千分尺</t>
    <phoneticPr fontId="2" type="noConversion"/>
  </si>
  <si>
    <t>O、千分表</t>
    <phoneticPr fontId="2" type="noConversion"/>
  </si>
  <si>
    <t>P、杠杆百分表</t>
    <phoneticPr fontId="2" type="noConversion"/>
  </si>
  <si>
    <t xml:space="preserve">  月    日</t>
    <phoneticPr fontId="2" type="noConversion"/>
  </si>
  <si>
    <t>a：首检</t>
    <phoneticPr fontId="2" type="noConversion"/>
  </si>
  <si>
    <t>b：末检</t>
    <phoneticPr fontId="2" type="noConversion"/>
  </si>
  <si>
    <t>c：换刀</t>
    <phoneticPr fontId="2" type="noConversion"/>
  </si>
  <si>
    <t>d：调整</t>
    <phoneticPr fontId="2" type="noConversion"/>
  </si>
  <si>
    <t>I、专用治具</t>
    <phoneticPr fontId="2" type="noConversion"/>
  </si>
  <si>
    <t>J、标准件</t>
    <phoneticPr fontId="2" type="noConversion"/>
  </si>
  <si>
    <t>检查点</t>
    <phoneticPr fontId="2" type="noConversion"/>
  </si>
  <si>
    <t xml:space="preserve">   状态</t>
    <phoneticPr fontId="2" type="noConversion"/>
  </si>
  <si>
    <t>部品番号：</t>
    <phoneticPr fontId="2" type="noConversion"/>
  </si>
  <si>
    <t>机号：</t>
    <phoneticPr fontId="2" type="noConversion"/>
  </si>
  <si>
    <t>工程名称：</t>
    <phoneticPr fontId="2" type="noConversion"/>
  </si>
  <si>
    <t xml:space="preserve"> 状态代码：</t>
    <phoneticPr fontId="2" type="noConversion"/>
  </si>
  <si>
    <t>量具代码：</t>
    <phoneticPr fontId="2" type="noConversion"/>
  </si>
  <si>
    <t>注意事项：</t>
    <phoneticPr fontId="2" type="noConversion"/>
  </si>
  <si>
    <t>测量者   姓名</t>
    <phoneticPr fontId="2" type="noConversion"/>
  </si>
  <si>
    <r>
      <t>目</t>
    </r>
    <r>
      <rPr>
        <sz val="12"/>
        <rFont val="宋体"/>
        <family val="3"/>
        <charset val="134"/>
      </rPr>
      <t>视</t>
    </r>
    <phoneticPr fontId="2" type="noConversion"/>
  </si>
  <si>
    <t>e：正常     　点检</t>
    <phoneticPr fontId="2" type="noConversion"/>
  </si>
  <si>
    <r>
      <t>外</t>
    </r>
    <r>
      <rPr>
        <sz val="12"/>
        <rFont val="宋体"/>
        <family val="3"/>
        <charset val="134"/>
      </rPr>
      <t>观</t>
    </r>
    <phoneticPr fontId="2" type="noConversion"/>
  </si>
  <si>
    <t>※本表实施者为取得测量资格的人员,点检周期为2小时/次；</t>
    <phoneticPr fontId="2" type="noConversion"/>
  </si>
  <si>
    <t>※发现异常时按&lt;测量不良后处理流程业务指导书&gt;进行处理；</t>
    <phoneticPr fontId="2" type="noConversion"/>
  </si>
  <si>
    <t>※点检时请对照&lt;加工工程用图&gt;和&lt;MCC生技/品管发行作业指示书&gt;进行测量；</t>
    <phoneticPr fontId="2" type="noConversion"/>
  </si>
  <si>
    <r>
      <t>※如遇"首检""末检"时,请在"状态栏"内填入代码"a""b"</t>
    </r>
    <r>
      <rPr>
        <sz val="8"/>
        <rFont val="宋体"/>
        <family val="3"/>
        <charset val="134"/>
      </rPr>
      <t>（其它状态同此相同）</t>
    </r>
    <phoneticPr fontId="2" type="noConversion"/>
  </si>
  <si>
    <t>※测量前将量具调0,更换刀具及产品时必须实施；</t>
    <phoneticPr fontId="2" type="noConversion"/>
  </si>
  <si>
    <t>末检:零件换型、换刀、调整及长时间停机前的最后一个；</t>
    <phoneticPr fontId="2" type="noConversion"/>
  </si>
  <si>
    <t xml:space="preserve">  首检:零件换型或不连续生产的第一个零件；</t>
    <phoneticPr fontId="2" type="noConversion"/>
  </si>
  <si>
    <t>粗糙度</t>
    <phoneticPr fontId="2" type="noConversion"/>
  </si>
  <si>
    <t>质量记录</t>
    <phoneticPr fontId="2" type="noConversion"/>
  </si>
  <si>
    <t>作业自主点检表</t>
    <phoneticPr fontId="2" type="noConversion"/>
  </si>
  <si>
    <t xml:space="preserve">部品名称： </t>
    <phoneticPr fontId="2" type="noConversion"/>
  </si>
  <si>
    <t>Ｋ、洛氏硬度计</t>
    <phoneticPr fontId="2" type="noConversion"/>
  </si>
  <si>
    <t>A1、三次元</t>
    <phoneticPr fontId="2" type="noConversion"/>
  </si>
  <si>
    <t>Y：垂直度检具</t>
    <phoneticPr fontId="2" type="noConversion"/>
  </si>
  <si>
    <t>Z、平行度检具</t>
    <phoneticPr fontId="2" type="noConversion"/>
  </si>
  <si>
    <r>
      <t>※如发现写错时请用</t>
    </r>
    <r>
      <rPr>
        <b/>
        <i/>
        <sz val="10"/>
        <rFont val="宋体"/>
        <family val="3"/>
        <charset val="134"/>
      </rPr>
      <t>黑色</t>
    </r>
    <r>
      <rPr>
        <sz val="10"/>
        <rFont val="宋体"/>
        <family val="3"/>
        <charset val="134"/>
      </rPr>
      <t>笔划"   "并用</t>
    </r>
    <r>
      <rPr>
        <b/>
        <sz val="10"/>
        <rFont val="宋体"/>
        <family val="3"/>
        <charset val="134"/>
      </rPr>
      <t>红色</t>
    </r>
    <r>
      <rPr>
        <sz val="10"/>
        <rFont val="宋体"/>
        <family val="3"/>
        <charset val="134"/>
      </rPr>
      <t>笔订正;不合格时,请用红笔记录实际值；</t>
    </r>
    <phoneticPr fontId="2" type="noConversion"/>
  </si>
  <si>
    <t>Q、杠杆千分表</t>
    <phoneticPr fontId="2" type="noConversion"/>
  </si>
  <si>
    <t>R、齿跳仪</t>
    <phoneticPr fontId="2" type="noConversion"/>
  </si>
  <si>
    <t>S、花健千分尺</t>
    <phoneticPr fontId="2" type="noConversion"/>
  </si>
  <si>
    <r>
      <t>T</t>
    </r>
    <r>
      <rPr>
        <sz val="10"/>
        <rFont val="宋体"/>
        <family val="3"/>
        <charset val="134"/>
      </rPr>
      <t>、粗糙度标准块</t>
    </r>
    <phoneticPr fontId="2" type="noConversion"/>
  </si>
  <si>
    <t>U、气动测微计</t>
    <phoneticPr fontId="2" type="noConversion"/>
  </si>
  <si>
    <t>V、锥度规</t>
    <phoneticPr fontId="2" type="noConversion"/>
  </si>
  <si>
    <t>W、顶针卡尺</t>
    <phoneticPr fontId="2" type="noConversion"/>
  </si>
  <si>
    <t>X、螺纹规</t>
    <phoneticPr fontId="2" type="noConversion"/>
  </si>
  <si>
    <r>
      <t>B1</t>
    </r>
    <r>
      <rPr>
        <sz val="10"/>
        <rFont val="宋体"/>
        <family val="3"/>
        <charset val="134"/>
      </rPr>
      <t>、塞规</t>
    </r>
    <phoneticPr fontId="2" type="noConversion"/>
  </si>
  <si>
    <t xml:space="preserve">保管年限：10年             </t>
    <phoneticPr fontId="2" type="noConversion"/>
  </si>
  <si>
    <t>序号</t>
    <phoneticPr fontId="2" type="noConversion"/>
  </si>
  <si>
    <t>下限</t>
    <phoneticPr fontId="2" type="noConversion"/>
  </si>
  <si>
    <t>上限</t>
    <phoneticPr fontId="2" type="noConversion"/>
  </si>
  <si>
    <t>P、杠杆百分表</t>
    <phoneticPr fontId="2" type="noConversion"/>
  </si>
  <si>
    <t>X、螺纹规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</si>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</sst>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_);[Red]\(0.00\)"/>
    <numFmt numFmtId="177" formatCode="yyyy/m/d\ h:mm:ss"/>
  </numFmts>
  <fonts count="12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MS Gothic"/>
      <family val="3"/>
      <charset val="128"/>
    </font>
    <font>
      <sz val="10"/>
      <name val="宋体"/>
      <family val="3"/>
      <charset val="134"/>
    </font>
    <font>
      <sz val="14"/>
      <name val="宋体"/>
      <family val="3"/>
      <charset val="134"/>
    </font>
    <font>
      <b/>
      <sz val="10"/>
      <name val="宋体"/>
      <family val="3"/>
      <charset val="134"/>
    </font>
    <font>
      <b/>
      <sz val="26"/>
      <name val="宋体"/>
      <family val="3"/>
      <charset val="134"/>
    </font>
    <font>
      <b/>
      <i/>
      <sz val="10"/>
      <name val="宋体"/>
      <family val="3"/>
      <charset val="134"/>
    </font>
    <font>
      <sz val="8"/>
      <name val="宋体"/>
      <family val="3"/>
      <charset val="134"/>
    </font>
    <font>
      <sz val="10"/>
      <name val="Times New Roman"/>
      <family val="1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>
      <alignment vertical="center"/>
    </xf>
    <xf numFmtId="0" fontId="5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/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Protection="1">
      <alignment vertical="center"/>
      <protection locked="0"/>
    </xf>
    <xf numFmtId="0" fontId="5" fillId="0" borderId="4" xfId="0" applyFont="1" applyBorder="1" applyProtection="1">
      <alignment vertical="center"/>
      <protection locked="0"/>
    </xf>
    <xf numFmtId="0" fontId="5" fillId="0" borderId="0" xfId="0" applyFont="1" applyBorder="1" applyProtection="1">
      <alignment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0" fontId="5" fillId="0" borderId="4" xfId="0" applyFont="1" applyBorder="1" applyAlignment="1" applyProtection="1">
      <alignment vertical="center"/>
      <protection locked="0"/>
    </xf>
    <xf numFmtId="0" fontId="5" fillId="0" borderId="4" xfId="0" applyFont="1" applyFill="1" applyBorder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22" fontId="0" fillId="0" borderId="1" xfId="0" applyNumberFormat="1" applyBorder="1" applyAlignment="1" applyProtection="1">
      <alignment horizontal="center" vertical="center"/>
      <protection locked="0"/>
    </xf>
    <xf numFmtId="176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left" vertical="center"/>
      <protection locked="0"/>
    </xf>
    <xf numFmtId="0" fontId="1" fillId="0" borderId="0" xfId="0" applyFont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4" fillId="0" borderId="6" xfId="0" applyFont="1" applyBorder="1" applyProtection="1">
      <alignment vertical="center"/>
      <protection locked="0"/>
    </xf>
    <xf numFmtId="0" fontId="4" fillId="0" borderId="7" xfId="0" applyFont="1" applyBorder="1" applyProtection="1">
      <alignment vertical="center"/>
      <protection locked="0"/>
    </xf>
    <xf numFmtId="0" fontId="4" fillId="0" borderId="8" xfId="0" applyFont="1" applyBorder="1" applyProtection="1">
      <alignment vertical="center"/>
      <protection locked="0"/>
    </xf>
    <xf numFmtId="0" fontId="4" fillId="0" borderId="5" xfId="0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 applyProtection="1">
      <alignment horizontal="left" vertical="center"/>
      <protection locked="0"/>
    </xf>
    <xf numFmtId="0" fontId="4" fillId="0" borderId="2" xfId="0" applyFont="1" applyBorder="1" applyAlignment="1" applyProtection="1">
      <alignment horizontal="left" vertical="center"/>
      <protection locked="0"/>
    </xf>
    <xf numFmtId="0" fontId="4" fillId="0" borderId="10" xfId="0" applyFont="1" applyBorder="1" applyAlignment="1" applyProtection="1">
      <alignment horizontal="left" vertical="center"/>
      <protection locked="0"/>
    </xf>
    <xf numFmtId="0" fontId="4" fillId="0" borderId="9" xfId="0" applyFont="1" applyBorder="1" applyAlignment="1" applyProtection="1">
      <alignment horizontal="left" vertical="center"/>
      <protection locked="0"/>
    </xf>
    <xf numFmtId="0" fontId="4" fillId="0" borderId="11" xfId="0" applyFont="1" applyBorder="1" applyProtection="1">
      <alignment vertical="center"/>
      <protection locked="0"/>
    </xf>
    <xf numFmtId="0" fontId="4" fillId="0" borderId="12" xfId="0" applyFont="1" applyBorder="1" applyAlignment="1" applyProtection="1">
      <alignment horizontal="left" vertical="center"/>
      <protection locked="0"/>
    </xf>
    <xf numFmtId="0" fontId="4" fillId="0" borderId="13" xfId="0" applyFont="1" applyBorder="1" applyAlignment="1" applyProtection="1">
      <alignment horizontal="left" vertical="center"/>
      <protection locked="0"/>
    </xf>
    <xf numFmtId="0" fontId="4" fillId="0" borderId="14" xfId="0" applyFont="1" applyBorder="1" applyAlignment="1" applyProtection="1">
      <alignment horizontal="left" vertical="center"/>
      <protection locked="0"/>
    </xf>
    <xf numFmtId="0" fontId="10" fillId="0" borderId="14" xfId="0" applyFont="1" applyBorder="1" applyAlignment="1" applyProtection="1">
      <alignment horizontal="left" vertical="center"/>
      <protection locked="0"/>
    </xf>
    <xf numFmtId="0" fontId="4" fillId="0" borderId="15" xfId="0" applyFont="1" applyBorder="1" applyAlignment="1" applyProtection="1">
      <alignment vertical="center"/>
      <protection locked="0"/>
    </xf>
    <xf numFmtId="0" fontId="4" fillId="0" borderId="16" xfId="0" applyFont="1" applyBorder="1" applyAlignment="1" applyProtection="1">
      <alignment vertical="center"/>
      <protection locked="0"/>
    </xf>
    <xf numFmtId="0" fontId="4" fillId="0" borderId="17" xfId="0" applyFont="1" applyBorder="1" applyAlignment="1" applyProtection="1">
      <alignment vertical="center"/>
      <protection locked="0"/>
    </xf>
    <xf numFmtId="0" fontId="4" fillId="0" borderId="18" xfId="0" applyFont="1" applyBorder="1" applyAlignment="1" applyProtection="1">
      <alignment vertical="center"/>
      <protection locked="0"/>
    </xf>
    <xf numFmtId="0" fontId="4" fillId="0" borderId="0" xfId="0" applyFo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0" fillId="0" borderId="0" xfId="0" applyAlignment="1" applyProtection="1">
      <protection locked="0"/>
    </xf>
    <xf numFmtId="0" fontId="4" fillId="0" borderId="0" xfId="0" applyFont="1" applyFill="1" applyBorder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0" fontId="0" fillId="0" borderId="0" xfId="0" applyBorder="1">
      <alignment vertical="center"/>
    </xf>
    <xf numFmtId="0" fontId="4" fillId="0" borderId="1" xfId="0" applyFont="1" applyBorder="1" applyAlignment="1" applyProtection="1">
      <alignment horizontal="left" vertical="center"/>
      <protection locked="0"/>
    </xf>
    <xf numFmtId="0" fontId="10" fillId="0" borderId="1" xfId="0" applyFont="1" applyBorder="1" applyAlignment="1" applyProtection="1">
      <alignment horizontal="left" vertical="center"/>
      <protection locked="0"/>
    </xf>
    <xf numFmtId="0" fontId="4" fillId="0" borderId="36" xfId="0" applyFont="1" applyBorder="1" applyProtection="1">
      <alignment vertical="center"/>
      <protection locked="0"/>
    </xf>
    <xf numFmtId="0" fontId="4" fillId="0" borderId="30" xfId="0" applyFont="1" applyBorder="1" applyAlignment="1" applyProtection="1">
      <alignment vertical="center"/>
      <protection locked="0"/>
    </xf>
    <xf numFmtId="0" fontId="4" fillId="0" borderId="39" xfId="0" applyFont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</xf>
    <xf numFmtId="0" fontId="11" fillId="0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left" vertical="center"/>
      <protection locked="0"/>
    </xf>
    <xf numFmtId="0" fontId="4" fillId="0" borderId="22" xfId="0" applyFont="1" applyBorder="1" applyAlignment="1" applyProtection="1">
      <alignment horizontal="left" vertical="center"/>
      <protection locked="0"/>
    </xf>
    <xf numFmtId="0" fontId="4" fillId="0" borderId="23" xfId="0" applyFont="1" applyBorder="1" applyAlignment="1" applyProtection="1">
      <alignment horizontal="left" vertical="center"/>
      <protection locked="0"/>
    </xf>
    <xf numFmtId="0" fontId="4" fillId="0" borderId="24" xfId="0" applyFont="1" applyBorder="1" applyAlignment="1" applyProtection="1">
      <alignment horizontal="left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5" xfId="0" applyFont="1" applyBorder="1" applyAlignment="1" applyProtection="1">
      <alignment horizontal="left"/>
      <protection locked="0"/>
    </xf>
    <xf numFmtId="0" fontId="4" fillId="0" borderId="26" xfId="0" applyFont="1" applyBorder="1" applyAlignment="1" applyProtection="1">
      <alignment horizontal="left"/>
      <protection locked="0"/>
    </xf>
    <xf numFmtId="0" fontId="4" fillId="0" borderId="27" xfId="0" applyFont="1" applyBorder="1" applyAlignment="1" applyProtection="1">
      <alignment horizontal="left"/>
      <protection locked="0"/>
    </xf>
    <xf numFmtId="0" fontId="4" fillId="0" borderId="28" xfId="0" applyFont="1" applyBorder="1" applyAlignment="1" applyProtection="1">
      <alignment horizontal="left"/>
      <protection locked="0"/>
    </xf>
    <xf numFmtId="0" fontId="4" fillId="0" borderId="29" xfId="0" applyFont="1" applyBorder="1" applyAlignment="1" applyProtection="1">
      <alignment horizontal="center" vertical="center"/>
      <protection locked="0"/>
    </xf>
    <xf numFmtId="0" fontId="4" fillId="0" borderId="30" xfId="0" applyFont="1" applyBorder="1" applyAlignment="1" applyProtection="1">
      <alignment horizontal="center" vertical="center"/>
      <protection locked="0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32" xfId="0" applyFont="1" applyBorder="1" applyAlignment="1" applyProtection="1">
      <alignment horizontal="center" vertical="center" wrapText="1"/>
      <protection locked="0"/>
    </xf>
    <xf numFmtId="0" fontId="4" fillId="0" borderId="33" xfId="0" applyFont="1" applyBorder="1" applyAlignment="1" applyProtection="1">
      <alignment horizontal="left" vertical="center"/>
      <protection locked="0"/>
    </xf>
    <xf numFmtId="0" fontId="4" fillId="0" borderId="14" xfId="0" applyFont="1" applyBorder="1" applyAlignment="1" applyProtection="1">
      <alignment horizontal="left" vertical="center"/>
      <protection locked="0"/>
    </xf>
    <xf numFmtId="0" fontId="4" fillId="0" borderId="13" xfId="0" applyFont="1" applyBorder="1" applyAlignment="1" applyProtection="1">
      <alignment horizontal="left" vertical="center"/>
      <protection locked="0"/>
    </xf>
    <xf numFmtId="0" fontId="4" fillId="0" borderId="34" xfId="0" applyFont="1" applyBorder="1" applyAlignment="1" applyProtection="1">
      <alignment horizontal="left" vertical="center"/>
      <protection locked="0"/>
    </xf>
    <xf numFmtId="0" fontId="4" fillId="0" borderId="35" xfId="0" applyFont="1" applyBorder="1" applyAlignment="1" applyProtection="1">
      <alignment horizontal="left" vertical="center"/>
      <protection locked="0"/>
    </xf>
    <xf numFmtId="0" fontId="4" fillId="0" borderId="15" xfId="0" applyFont="1" applyBorder="1" applyAlignment="1" applyProtection="1">
      <alignment horizontal="left" vertical="center"/>
      <protection locked="0"/>
    </xf>
    <xf numFmtId="0" fontId="4" fillId="0" borderId="16" xfId="0" applyFont="1" applyBorder="1" applyAlignment="1" applyProtection="1">
      <alignment horizontal="left" vertical="center"/>
      <protection locked="0"/>
    </xf>
    <xf numFmtId="0" fontId="4" fillId="0" borderId="30" xfId="0" applyFont="1" applyBorder="1" applyAlignment="1" applyProtection="1">
      <alignment horizontal="left" vertical="center"/>
      <protection locked="0"/>
    </xf>
    <xf numFmtId="0" fontId="10" fillId="0" borderId="30" xfId="0" applyFont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36" xfId="0" applyFont="1" applyBorder="1" applyAlignment="1" applyProtection="1">
      <alignment horizontal="left" vertical="center"/>
      <protection locked="0"/>
    </xf>
    <xf numFmtId="0" fontId="4" fillId="0" borderId="37" xfId="0" applyFont="1" applyBorder="1" applyAlignment="1" applyProtection="1">
      <alignment horizontal="left" vertical="center"/>
      <protection locked="0"/>
    </xf>
    <xf numFmtId="0" fontId="4" fillId="0" borderId="1" xfId="0" applyFont="1" applyBorder="1" applyAlignment="1" applyProtection="1">
      <alignment horizontal="left" vertical="center"/>
      <protection locked="0"/>
    </xf>
    <xf numFmtId="0" fontId="4" fillId="0" borderId="38" xfId="0" applyFont="1" applyBorder="1" applyAlignment="1" applyProtection="1">
      <alignment horizontal="left" vertic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177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203412</xdr:colOff>
      <xdr:row>3</xdr:row>
      <xdr:rowOff>209550</xdr:rowOff>
    </xdr:from>
    <xdr:to>
      <xdr:col>3</xdr:col>
      <xdr:colOff>38244</xdr:colOff>
      <xdr:row>4</xdr:row>
      <xdr:rowOff>177735</xdr:rowOff>
    </xdr:to>
    <xdr:sp macro="" textlink="">
      <xdr:nvSpPr>
        <xdr:cNvPr id="1036" name="Rectangle 12"/>
        <xdr:cNvSpPr>
          <a:spLocks noChangeArrowheads="1"/>
        </xdr:cNvSpPr>
      </xdr:nvSpPr>
      <xdr:spPr bwMode="auto">
        <a:xfrm rot="1687225">
          <a:off x="1323975" y="1095375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量具</a:t>
          </a:r>
        </a:p>
      </xdr:txBody>
    </xdr:sp>
    <xdr:clientData/>
  </xdr:twoCellAnchor>
  <xdr:twoCellAnchor editAs="oneCell">
    <xdr:from>
      <xdr:col>2</xdr:col>
      <xdr:colOff>180975</xdr:colOff>
      <xdr:row>4</xdr:row>
      <xdr:rowOff>177588</xdr:rowOff>
    </xdr:from>
    <xdr:to>
      <xdr:col>3</xdr:col>
      <xdr:colOff>26806</xdr:colOff>
      <xdr:row>5</xdr:row>
      <xdr:rowOff>152638</xdr:rowOff>
    </xdr:to>
    <xdr:sp macro="" textlink="">
      <xdr:nvSpPr>
        <xdr:cNvPr id="1037" name="Rectangle 13"/>
        <xdr:cNvSpPr>
          <a:spLocks noChangeArrowheads="1"/>
        </xdr:cNvSpPr>
      </xdr:nvSpPr>
      <xdr:spPr bwMode="auto">
        <a:xfrm rot="1357192">
          <a:off x="1304925" y="1285875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次数</a:t>
          </a:r>
        </a:p>
      </xdr:txBody>
    </xdr:sp>
    <xdr:clientData/>
  </xdr:twoCellAnchor>
  <xdr:twoCellAnchor>
    <xdr:from>
      <xdr:col>16</xdr:col>
      <xdr:colOff>160020</xdr:colOff>
      <xdr:row>0</xdr:row>
      <xdr:rowOff>38100</xdr:rowOff>
    </xdr:from>
    <xdr:to>
      <xdr:col>18</xdr:col>
      <xdr:colOff>716280</xdr:colOff>
      <xdr:row>2</xdr:row>
      <xdr:rowOff>175260</xdr:rowOff>
    </xdr:to>
    <xdr:grpSp>
      <xdr:nvGrpSpPr>
        <xdr:cNvPr id="1663" name="Group 40"/>
        <xdr:cNvGrpSpPr>
          <a:grpSpLocks/>
        </xdr:cNvGrpSpPr>
      </xdr:nvGrpSpPr>
      <xdr:grpSpPr bwMode="auto">
        <a:xfrm>
          <a:off x="9587049" y="38100"/>
          <a:ext cx="1557745" cy="822960"/>
          <a:chOff x="903" y="614"/>
          <a:chExt cx="159" cy="95"/>
        </a:xfrm>
      </xdr:grpSpPr>
      <xdr:grpSp>
        <xdr:nvGrpSpPr>
          <xdr:cNvPr id="1676" name="Group 30"/>
          <xdr:cNvGrpSpPr>
            <a:grpSpLocks/>
          </xdr:cNvGrpSpPr>
        </xdr:nvGrpSpPr>
        <xdr:grpSpPr bwMode="auto">
          <a:xfrm>
            <a:off x="978" y="614"/>
            <a:ext cx="84" cy="95"/>
            <a:chOff x="948" y="600"/>
            <a:chExt cx="72" cy="95"/>
          </a:xfrm>
        </xdr:grpSpPr>
        <xdr:sp macro="" textlink="">
          <xdr:nvSpPr>
            <xdr:cNvPr id="1050" name="Rectangle 26"/>
            <xdr:cNvSpPr>
              <a:spLocks noChangeArrowheads="1"/>
            </xdr:cNvSpPr>
          </xdr:nvSpPr>
          <xdr:spPr bwMode="auto">
            <a:xfrm>
              <a:off x="948" y="600"/>
              <a:ext cx="72" cy="23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 检</a:t>
              </a:r>
            </a:p>
          </xdr:txBody>
        </xdr:sp>
        <xdr:sp macro="" textlink="">
          <xdr:nvSpPr>
            <xdr:cNvPr id="1680" name="Rectangle 27"/>
            <xdr:cNvSpPr>
              <a:spLocks noChangeArrowheads="1"/>
            </xdr:cNvSpPr>
          </xdr:nvSpPr>
          <xdr:spPr bwMode="auto">
            <a:xfrm>
              <a:off x="948" y="623"/>
              <a:ext cx="72" cy="72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56" name="Rectangle 32"/>
          <xdr:cNvSpPr>
            <a:spLocks noChangeArrowheads="1"/>
          </xdr:cNvSpPr>
        </xdr:nvSpPr>
        <xdr:spPr bwMode="auto">
          <a:xfrm>
            <a:off x="903" y="614"/>
            <a:ext cx="78" cy="2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确 认</a:t>
            </a:r>
          </a:p>
        </xdr:txBody>
      </xdr:sp>
      <xdr:sp macro="" textlink="">
        <xdr:nvSpPr>
          <xdr:cNvPr id="1678" name="Rectangle 33"/>
          <xdr:cNvSpPr>
            <a:spLocks noChangeArrowheads="1"/>
          </xdr:cNvSpPr>
        </xdr:nvSpPr>
        <xdr:spPr bwMode="auto">
          <a:xfrm>
            <a:off x="903" y="637"/>
            <a:ext cx="78" cy="7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664" name="Line 37"/>
        <xdr:cNvSpPr>
          <a:spLocks noChangeShapeType="1"/>
        </xdr:cNvSpPr>
      </xdr:nvSpPr>
      <xdr:spPr bwMode="auto">
        <a:xfrm>
          <a:off x="1546860" y="1097280"/>
          <a:ext cx="975360" cy="21336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11</xdr:col>
      <xdr:colOff>220980</xdr:colOff>
      <xdr:row>29</xdr:row>
      <xdr:rowOff>144780</xdr:rowOff>
    </xdr:from>
    <xdr:to>
      <xdr:col>11</xdr:col>
      <xdr:colOff>426720</xdr:colOff>
      <xdr:row>29</xdr:row>
      <xdr:rowOff>144780</xdr:rowOff>
    </xdr:to>
    <xdr:sp macro="" textlink="">
      <xdr:nvSpPr>
        <xdr:cNvPr id="1665" name="Line 41"/>
        <xdr:cNvSpPr>
          <a:spLocks noChangeShapeType="1"/>
        </xdr:cNvSpPr>
      </xdr:nvSpPr>
      <xdr:spPr bwMode="auto">
        <a:xfrm>
          <a:off x="6766560" y="6195060"/>
          <a:ext cx="2057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220980</xdr:colOff>
      <xdr:row>29</xdr:row>
      <xdr:rowOff>106680</xdr:rowOff>
    </xdr:from>
    <xdr:to>
      <xdr:col>11</xdr:col>
      <xdr:colOff>419100</xdr:colOff>
      <xdr:row>29</xdr:row>
      <xdr:rowOff>106680</xdr:rowOff>
    </xdr:to>
    <xdr:sp macro="" textlink="">
      <xdr:nvSpPr>
        <xdr:cNvPr id="1666" name="Line 42"/>
        <xdr:cNvSpPr>
          <a:spLocks noChangeShapeType="1"/>
        </xdr:cNvSpPr>
      </xdr:nvSpPr>
      <xdr:spPr bwMode="auto">
        <a:xfrm>
          <a:off x="6766560" y="6156960"/>
          <a:ext cx="19812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167640</xdr:colOff>
      <xdr:row>3</xdr:row>
      <xdr:rowOff>45720</xdr:rowOff>
    </xdr:from>
    <xdr:to>
      <xdr:col>13</xdr:col>
      <xdr:colOff>411480</xdr:colOff>
      <xdr:row>4</xdr:row>
      <xdr:rowOff>0</xdr:rowOff>
    </xdr:to>
    <xdr:grpSp>
      <xdr:nvGrpSpPr>
        <xdr:cNvPr id="1667" name="Group 48"/>
        <xdr:cNvGrpSpPr>
          <a:grpSpLocks/>
        </xdr:cNvGrpSpPr>
      </xdr:nvGrpSpPr>
      <xdr:grpSpPr bwMode="auto">
        <a:xfrm>
          <a:off x="8092440" y="927463"/>
          <a:ext cx="243840" cy="171994"/>
          <a:chOff x="717" y="94"/>
          <a:chExt cx="25" cy="18"/>
        </a:xfrm>
      </xdr:grpSpPr>
      <xdr:sp macro="" textlink="">
        <xdr:nvSpPr>
          <xdr:cNvPr id="1674" name="Oval 45"/>
          <xdr:cNvSpPr>
            <a:spLocks noChangeArrowheads="1"/>
          </xdr:cNvSpPr>
        </xdr:nvSpPr>
        <xdr:spPr bwMode="auto">
          <a:xfrm>
            <a:off x="717" y="94"/>
            <a:ext cx="16" cy="15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070" name="Text Box 46"/>
          <xdr:cNvSpPr txBox="1">
            <a:spLocks noChangeArrowheads="1"/>
          </xdr:cNvSpPr>
        </xdr:nvSpPr>
        <xdr:spPr bwMode="auto">
          <a:xfrm>
            <a:off x="718" y="94"/>
            <a:ext cx="24" cy="1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altLang="zh-CN" sz="8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11</a:t>
            </a:r>
          </a:p>
        </xdr:txBody>
      </xdr:sp>
    </xdr:grpSp>
    <xdr:clientData/>
  </xdr:twoCellAnchor>
  <xdr:twoCellAnchor>
    <xdr:from>
      <xdr:col>14</xdr:col>
      <xdr:colOff>167640</xdr:colOff>
      <xdr:row>3</xdr:row>
      <xdr:rowOff>45720</xdr:rowOff>
    </xdr:from>
    <xdr:to>
      <xdr:col>14</xdr:col>
      <xdr:colOff>411480</xdr:colOff>
      <xdr:row>4</xdr:row>
      <xdr:rowOff>0</xdr:rowOff>
    </xdr:to>
    <xdr:grpSp>
      <xdr:nvGrpSpPr>
        <xdr:cNvPr id="1668" name="Group 56"/>
        <xdr:cNvGrpSpPr>
          <a:grpSpLocks/>
        </xdr:cNvGrpSpPr>
      </xdr:nvGrpSpPr>
      <xdr:grpSpPr bwMode="auto">
        <a:xfrm>
          <a:off x="8593183" y="927463"/>
          <a:ext cx="243840" cy="171994"/>
          <a:chOff x="765" y="94"/>
          <a:chExt cx="25" cy="18"/>
        </a:xfrm>
      </xdr:grpSpPr>
      <xdr:sp macro="" textlink="">
        <xdr:nvSpPr>
          <xdr:cNvPr id="1672" name="Oval 50"/>
          <xdr:cNvSpPr>
            <a:spLocks noChangeArrowheads="1"/>
          </xdr:cNvSpPr>
        </xdr:nvSpPr>
        <xdr:spPr bwMode="auto">
          <a:xfrm>
            <a:off x="765" y="94"/>
            <a:ext cx="16" cy="15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075" name="Text Box 51"/>
          <xdr:cNvSpPr txBox="1">
            <a:spLocks noChangeArrowheads="1"/>
          </xdr:cNvSpPr>
        </xdr:nvSpPr>
        <xdr:spPr bwMode="auto">
          <a:xfrm>
            <a:off x="766" y="94"/>
            <a:ext cx="24" cy="1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altLang="zh-CN" sz="8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12</a:t>
            </a:r>
          </a:p>
        </xdr:txBody>
      </xdr:sp>
    </xdr:grpSp>
    <xdr:clientData/>
  </xdr:twoCellAnchor>
  <xdr:twoCellAnchor>
    <xdr:from>
      <xdr:col>15</xdr:col>
      <xdr:colOff>160020</xdr:colOff>
      <xdr:row>3</xdr:row>
      <xdr:rowOff>45720</xdr:rowOff>
    </xdr:from>
    <xdr:to>
      <xdr:col>15</xdr:col>
      <xdr:colOff>396240</xdr:colOff>
      <xdr:row>4</xdr:row>
      <xdr:rowOff>0</xdr:rowOff>
    </xdr:to>
    <xdr:grpSp>
      <xdr:nvGrpSpPr>
        <xdr:cNvPr id="1669" name="Group 55"/>
        <xdr:cNvGrpSpPr>
          <a:grpSpLocks/>
        </xdr:cNvGrpSpPr>
      </xdr:nvGrpSpPr>
      <xdr:grpSpPr bwMode="auto">
        <a:xfrm>
          <a:off x="9086306" y="927463"/>
          <a:ext cx="236220" cy="171994"/>
          <a:chOff x="823" y="93"/>
          <a:chExt cx="25" cy="18"/>
        </a:xfrm>
      </xdr:grpSpPr>
      <xdr:sp macro="" textlink="">
        <xdr:nvSpPr>
          <xdr:cNvPr id="1670" name="Oval 53"/>
          <xdr:cNvSpPr>
            <a:spLocks noChangeArrowheads="1"/>
          </xdr:cNvSpPr>
        </xdr:nvSpPr>
        <xdr:spPr bwMode="auto">
          <a:xfrm>
            <a:off x="823" y="93"/>
            <a:ext cx="16" cy="15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078" name="Text Box 54"/>
          <xdr:cNvSpPr txBox="1">
            <a:spLocks noChangeArrowheads="1"/>
          </xdr:cNvSpPr>
        </xdr:nvSpPr>
        <xdr:spPr bwMode="auto">
          <a:xfrm>
            <a:off x="824" y="93"/>
            <a:ext cx="24" cy="1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altLang="zh-CN" sz="8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13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203412</xdr:colOff>
      <xdr:row>3</xdr:row>
      <xdr:rowOff>209550</xdr:rowOff>
    </xdr:from>
    <xdr:to>
      <xdr:col>3</xdr:col>
      <xdr:colOff>38244</xdr:colOff>
      <xdr:row>5</xdr:row>
      <xdr:rowOff>6285</xdr:rowOff>
    </xdr:to>
    <xdr:sp macro="" textlink="">
      <xdr:nvSpPr>
        <xdr:cNvPr id="2" name="Rectangle 12"/>
        <xdr:cNvSpPr>
          <a:spLocks noChangeArrowheads="1"/>
        </xdr:cNvSpPr>
      </xdr:nvSpPr>
      <xdr:spPr bwMode="auto">
        <a:xfrm rot="1687225">
          <a:off x="2232237" y="1095375"/>
          <a:ext cx="320607" cy="187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量具</a:t>
          </a:r>
        </a:p>
      </xdr:txBody>
    </xdr:sp>
    <xdr:clientData/>
  </xdr:twoCellAnchor>
  <xdr:twoCellAnchor editAs="oneCell">
    <xdr:from>
      <xdr:col>2</xdr:col>
      <xdr:colOff>180975</xdr:colOff>
      <xdr:row>4</xdr:row>
      <xdr:rowOff>177588</xdr:rowOff>
    </xdr:from>
    <xdr:to>
      <xdr:col>3</xdr:col>
      <xdr:colOff>26806</xdr:colOff>
      <xdr:row>6</xdr:row>
      <xdr:rowOff>9763</xdr:rowOff>
    </xdr:to>
    <xdr:sp macro="" textlink="">
      <xdr:nvSpPr>
        <xdr:cNvPr id="3" name="Rectangle 13"/>
        <xdr:cNvSpPr>
          <a:spLocks noChangeArrowheads="1"/>
        </xdr:cNvSpPr>
      </xdr:nvSpPr>
      <xdr:spPr bwMode="auto">
        <a:xfrm rot="1357192">
          <a:off x="2209800" y="1282488"/>
          <a:ext cx="331606" cy="194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次数</a:t>
          </a:r>
        </a:p>
      </xdr:txBody>
    </xdr:sp>
    <xdr:clientData/>
  </xdr:twoCellAnchor>
  <xdr:twoCellAnchor>
    <xdr:from>
      <xdr:col>27</xdr:col>
      <xdr:colOff>160020</xdr:colOff>
      <xdr:row>0</xdr:row>
      <xdr:rowOff>38100</xdr:rowOff>
    </xdr:from>
    <xdr:to>
      <xdr:col>30</xdr:col>
      <xdr:colOff>1905</xdr:colOff>
      <xdr:row>2</xdr:row>
      <xdr:rowOff>175260</xdr:rowOff>
    </xdr:to>
    <xdr:grpSp>
      <xdr:nvGrpSpPr>
        <xdr:cNvPr id="4" name="Group 40"/>
        <xdr:cNvGrpSpPr>
          <a:grpSpLocks/>
        </xdr:cNvGrpSpPr>
      </xdr:nvGrpSpPr>
      <xdr:grpSpPr bwMode="auto">
        <a:xfrm>
          <a:off x="14877506" y="38100"/>
          <a:ext cx="1572713" cy="822960"/>
          <a:chOff x="903" y="614"/>
          <a:chExt cx="159" cy="95"/>
        </a:xfrm>
      </xdr:grpSpPr>
      <xdr:grpSp>
        <xdr:nvGrpSpPr>
          <xdr:cNvPr id="5" name="Group 30"/>
          <xdr:cNvGrpSpPr>
            <a:grpSpLocks/>
          </xdr:cNvGrpSpPr>
        </xdr:nvGrpSpPr>
        <xdr:grpSpPr bwMode="auto">
          <a:xfrm>
            <a:off x="978" y="614"/>
            <a:ext cx="84" cy="95"/>
            <a:chOff x="948" y="600"/>
            <a:chExt cx="72" cy="95"/>
          </a:xfrm>
        </xdr:grpSpPr>
        <xdr:sp macro="" textlink="">
          <xdr:nvSpPr>
            <xdr:cNvPr id="8" name="Rectangle 26"/>
            <xdr:cNvSpPr>
              <a:spLocks noChangeArrowheads="1"/>
            </xdr:cNvSpPr>
          </xdr:nvSpPr>
          <xdr:spPr bwMode="auto">
            <a:xfrm>
              <a:off x="948" y="600"/>
              <a:ext cx="72" cy="23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 检</a:t>
              </a:r>
            </a:p>
          </xdr:txBody>
        </xdr:sp>
        <xdr:sp macro="" textlink="">
          <xdr:nvSpPr>
            <xdr:cNvPr id="9" name="Rectangle 27"/>
            <xdr:cNvSpPr>
              <a:spLocks noChangeArrowheads="1"/>
            </xdr:cNvSpPr>
          </xdr:nvSpPr>
          <xdr:spPr bwMode="auto">
            <a:xfrm>
              <a:off x="948" y="623"/>
              <a:ext cx="72" cy="72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" name="Rectangle 32"/>
          <xdr:cNvSpPr>
            <a:spLocks noChangeArrowheads="1"/>
          </xdr:cNvSpPr>
        </xdr:nvSpPr>
        <xdr:spPr bwMode="auto">
          <a:xfrm>
            <a:off x="903" y="614"/>
            <a:ext cx="78" cy="2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确 认</a:t>
            </a:r>
          </a:p>
        </xdr:txBody>
      </xdr:sp>
      <xdr:sp macro="" textlink="">
        <xdr:nvSpPr>
          <xdr:cNvPr id="7" name="Rectangle 33"/>
          <xdr:cNvSpPr>
            <a:spLocks noChangeArrowheads="1"/>
          </xdr:cNvSpPr>
        </xdr:nvSpPr>
        <xdr:spPr bwMode="auto">
          <a:xfrm>
            <a:off x="903" y="637"/>
            <a:ext cx="78" cy="7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0" name="Line 37"/>
        <xdr:cNvSpPr>
          <a:spLocks noChangeShapeType="1"/>
        </xdr:cNvSpPr>
      </xdr:nvSpPr>
      <xdr:spPr bwMode="auto">
        <a:xfrm>
          <a:off x="1543050" y="1104900"/>
          <a:ext cx="971550" cy="219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11</xdr:col>
      <xdr:colOff>220980</xdr:colOff>
      <xdr:row>29</xdr:row>
      <xdr:rowOff>144780</xdr:rowOff>
    </xdr:from>
    <xdr:to>
      <xdr:col>11</xdr:col>
      <xdr:colOff>426720</xdr:colOff>
      <xdr:row>29</xdr:row>
      <xdr:rowOff>144780</xdr:rowOff>
    </xdr:to>
    <xdr:sp macro="" textlink="">
      <xdr:nvSpPr>
        <xdr:cNvPr id="11" name="Line 41"/>
        <xdr:cNvSpPr>
          <a:spLocks noChangeShapeType="1"/>
        </xdr:cNvSpPr>
      </xdr:nvSpPr>
      <xdr:spPr bwMode="auto">
        <a:xfrm>
          <a:off x="6907530" y="6202680"/>
          <a:ext cx="2057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220980</xdr:colOff>
      <xdr:row>29</xdr:row>
      <xdr:rowOff>106680</xdr:rowOff>
    </xdr:from>
    <xdr:to>
      <xdr:col>11</xdr:col>
      <xdr:colOff>419100</xdr:colOff>
      <xdr:row>29</xdr:row>
      <xdr:rowOff>106680</xdr:rowOff>
    </xdr:to>
    <xdr:sp macro="" textlink="">
      <xdr:nvSpPr>
        <xdr:cNvPr id="12" name="Line 42"/>
        <xdr:cNvSpPr>
          <a:spLocks noChangeShapeType="1"/>
        </xdr:cNvSpPr>
      </xdr:nvSpPr>
      <xdr:spPr bwMode="auto">
        <a:xfrm>
          <a:off x="6907530" y="6164580"/>
          <a:ext cx="19812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8"/>
  <sheetViews>
    <sheetView zoomScale="70" zoomScaleNormal="70" workbookViewId="0">
      <selection activeCell="A7" sqref="A7:A13"/>
    </sheetView>
  </sheetViews>
  <sheetFormatPr defaultRowHeight="15.6" x14ac:dyDescent="0.25"/>
  <cols>
    <col min="1" max="1" width="21.8984375" customWidth="1"/>
    <col min="2" max="3" width="6.3984375" customWidth="1"/>
    <col min="4" max="4" width="7.69921875" customWidth="1"/>
    <col min="5" max="5" width="8.3984375" customWidth="1"/>
    <col min="6" max="11" width="6.59765625" customWidth="1"/>
    <col min="12" max="12" width="7.19921875" customWidth="1"/>
    <col min="13" max="18" width="6.59765625" customWidth="1"/>
    <col min="19" max="19" width="9.5" customWidth="1"/>
  </cols>
  <sheetData>
    <row r="1" spans="1:19" ht="32.4" x14ac:dyDescent="0.25">
      <c r="A1" s="65" t="s">
        <v>52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</row>
    <row r="2" spans="1:19" s="3" customFormat="1" ht="21.75" customHeight="1" x14ac:dyDescent="0.25">
      <c r="A2" s="8" t="s">
        <v>53</v>
      </c>
      <c r="B2" s="9"/>
      <c r="C2" s="9"/>
      <c r="D2" s="10"/>
      <c r="E2" s="11" t="s">
        <v>33</v>
      </c>
      <c r="F2" s="12"/>
      <c r="G2" s="9"/>
      <c r="H2" s="10"/>
      <c r="I2" s="11" t="s">
        <v>35</v>
      </c>
      <c r="J2" s="9"/>
      <c r="K2" s="13"/>
      <c r="L2" s="8"/>
      <c r="M2" s="14" t="s">
        <v>34</v>
      </c>
      <c r="N2" s="9"/>
      <c r="O2" s="8"/>
      <c r="P2" s="8"/>
      <c r="Q2" s="8"/>
      <c r="R2" s="8"/>
      <c r="S2" s="8"/>
    </row>
    <row r="3" spans="1:19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</row>
    <row r="4" spans="1:19" s="1" customFormat="1" ht="17.25" customHeight="1" x14ac:dyDescent="0.25">
      <c r="A4" s="66" t="s">
        <v>24</v>
      </c>
      <c r="B4" s="67"/>
      <c r="C4" s="16" t="s">
        <v>31</v>
      </c>
      <c r="D4" s="17" t="s">
        <v>1</v>
      </c>
      <c r="E4" s="17" t="s">
        <v>2</v>
      </c>
      <c r="F4" s="17" t="s">
        <v>3</v>
      </c>
      <c r="G4" s="17" t="s">
        <v>4</v>
      </c>
      <c r="H4" s="17" t="s">
        <v>5</v>
      </c>
      <c r="I4" s="17" t="s">
        <v>7</v>
      </c>
      <c r="J4" s="17" t="s">
        <v>6</v>
      </c>
      <c r="K4" s="17" t="s">
        <v>8</v>
      </c>
      <c r="L4" s="17" t="s">
        <v>10</v>
      </c>
      <c r="M4" s="17" t="s">
        <v>9</v>
      </c>
      <c r="N4" s="18"/>
      <c r="O4" s="19"/>
      <c r="P4" s="19"/>
      <c r="Q4" s="18" t="s">
        <v>50</v>
      </c>
      <c r="R4" s="18" t="s">
        <v>42</v>
      </c>
      <c r="S4" s="68" t="s">
        <v>39</v>
      </c>
    </row>
    <row r="5" spans="1:19" s="1" customFormat="1" ht="17.25" customHeight="1" x14ac:dyDescent="0.25">
      <c r="A5" s="75" t="s">
        <v>0</v>
      </c>
      <c r="B5" s="76" t="s">
        <v>32</v>
      </c>
      <c r="C5" s="7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9"/>
      <c r="R5" s="18" t="s">
        <v>40</v>
      </c>
      <c r="S5" s="69"/>
    </row>
    <row r="6" spans="1:19" s="1" customFormat="1" ht="17.25" customHeight="1" x14ac:dyDescent="0.25">
      <c r="A6" s="75"/>
      <c r="B6" s="78"/>
      <c r="C6" s="79"/>
      <c r="D6" s="20">
        <v>4</v>
      </c>
      <c r="E6" s="20">
        <v>4</v>
      </c>
      <c r="F6" s="20">
        <v>4</v>
      </c>
      <c r="G6" s="20">
        <v>4</v>
      </c>
      <c r="H6" s="20">
        <v>4</v>
      </c>
      <c r="I6" s="20">
        <v>4</v>
      </c>
      <c r="J6" s="20">
        <v>4</v>
      </c>
      <c r="K6" s="20">
        <v>4</v>
      </c>
      <c r="L6" s="20">
        <v>4</v>
      </c>
      <c r="M6" s="20">
        <v>4</v>
      </c>
      <c r="N6" s="20">
        <v>4</v>
      </c>
      <c r="O6" s="20">
        <v>4</v>
      </c>
      <c r="P6" s="20">
        <v>4</v>
      </c>
      <c r="Q6" s="17">
        <v>4</v>
      </c>
      <c r="R6" s="17">
        <v>4</v>
      </c>
      <c r="S6" s="70"/>
    </row>
    <row r="7" spans="1:19" s="1" customFormat="1" ht="17.25" customHeight="1" x14ac:dyDescent="0.25">
      <c r="A7" s="99"/>
      <c r="B7" s="66"/>
      <c r="C7" s="67"/>
      <c r="D7" s="62" t="str">
        <f>IF(测量值!D7&lt;&gt;"",测量值!D7,"")</f>
        <v/>
      </c>
      <c r="E7" s="64" t="str">
        <f>IF(测量值!Y7&lt;&gt;"",测量值!Y7,"")</f>
        <v/>
      </c>
      <c r="F7" s="62" t="str">
        <f>IF(MAX(测量值!H7:'测量值'!J7) &lt;&gt; 0, MAX(测量值!H7:J7) - MIN(测量值!H7:J7),"")</f>
        <v/>
      </c>
      <c r="G7" s="62" t="str">
        <f>IF(MAX(测量值!D7:'测量值'!E7) &lt;&gt;0, MAX(ABS(测量值!D7-测量值!E7),ABS(测量值!F7-测量值!G7)),"")</f>
        <v/>
      </c>
      <c r="H7" s="62" t="str">
        <f>IF(测量值!K7&lt;&gt;"",测量值!K7,"")</f>
        <v/>
      </c>
      <c r="I7" s="64" t="str">
        <f>IF(测量值!Z7&lt;&gt;"",测量值!Z7,"")</f>
        <v/>
      </c>
      <c r="J7" s="62" t="str">
        <f>IF(MAX(测量值!O7:'测量值'!Q7) &lt;&gt; 0, MAX(测量值!O7:Q7) - MIN(测量值!O7:Q7),"")</f>
        <v/>
      </c>
      <c r="K7" s="62" t="str">
        <f>IF(MAX(测量值!J7:'测量值'!K7) &lt;&gt;0, MAX(ABS(测量值!J7-测量值!K7),ABS(测量值!L7-测量值!M7)),"")</f>
        <v/>
      </c>
      <c r="L7" s="62" t="str">
        <f>IF(测量值!R7&lt;&gt;"",测量值!R7,"")</f>
        <v/>
      </c>
      <c r="M7" s="64" t="str">
        <f>IF(测量值!AA7&lt;&gt;"",测量值!AA7,"")</f>
        <v/>
      </c>
      <c r="N7" s="63" t="str">
        <f>IF(MAX(测量值!V7:'测量值'!X7) &lt;&gt; 0, MAX(测量值!V7:X7) - MIN(测量值!V7:X7),"")</f>
        <v/>
      </c>
      <c r="O7" s="62" t="str">
        <f>IF(MAX(测量值!R7:'测量值'!S7) &lt;&gt;0, MAX(ABS(测量值!R7-测量值!S7),ABS(测量值!T7-测量值!U7)),"")</f>
        <v/>
      </c>
      <c r="P7" s="20"/>
      <c r="Q7" s="20"/>
      <c r="R7" s="17"/>
      <c r="S7" s="17"/>
    </row>
    <row r="8" spans="1:19" s="1" customFormat="1" ht="17.25" customHeight="1" x14ac:dyDescent="0.25">
      <c r="A8" s="99"/>
      <c r="B8" s="66"/>
      <c r="C8" s="67"/>
      <c r="D8" s="62" t="str">
        <f>IF(测量值!D8&lt;&gt;"",测量值!D8,"")</f>
        <v/>
      </c>
      <c r="E8" s="64" t="str">
        <f>IF(测量值!Y8&lt;&gt;"",测量值!Y8,"")</f>
        <v/>
      </c>
      <c r="F8" s="62" t="str">
        <f>IF(MAX(测量值!H8:'测量值'!J8) &lt;&gt; 0, MAX(测量值!H8:J8) - MIN(测量值!H8:J8),"")</f>
        <v/>
      </c>
      <c r="G8" s="62" t="str">
        <f>IF(MAX(测量值!D8:'测量值'!E8) &lt;&gt;0, MAX(ABS(测量值!D8-测量值!E8),ABS(测量值!F8-测量值!G8)),"")</f>
        <v/>
      </c>
      <c r="H8" s="62" t="str">
        <f>IF(测量值!K8&lt;&gt;"",测量值!K8,"")</f>
        <v/>
      </c>
      <c r="I8" s="64" t="str">
        <f>IF(测量值!Z8&lt;&gt;"",测量值!Z8,"")</f>
        <v/>
      </c>
      <c r="J8" s="62" t="str">
        <f>IF(MAX(测量值!O8:'测量值'!Q8) &lt;&gt; 0, MAX(测量值!O8:Q8) - MIN(测量值!O8:Q8),"")</f>
        <v/>
      </c>
      <c r="K8" s="62" t="str">
        <f>IF(MAX(测量值!J8:'测量值'!K8) &lt;&gt;0, MAX(ABS(测量值!J8-测量值!K8),ABS(测量值!L8-测量值!M8)),"")</f>
        <v/>
      </c>
      <c r="L8" s="62" t="str">
        <f>IF(测量值!R8&lt;&gt;"",测量值!R8,"")</f>
        <v/>
      </c>
      <c r="M8" s="64" t="str">
        <f>IF(测量值!AA8&lt;&gt;"",测量值!AA8,"")</f>
        <v/>
      </c>
      <c r="N8" s="63" t="str">
        <f>IF(MAX(测量值!V8:'测量值'!X8) &lt;&gt; 0, MAX(测量值!V8:X8) - MIN(测量值!V8:X8),"")</f>
        <v/>
      </c>
      <c r="O8" s="62" t="str">
        <f>IF(MAX(测量值!R8:'测量值'!S8) &lt;&gt;0, MAX(ABS(测量值!R8-测量值!S8),ABS(测量值!T8-测量值!U8)),"")</f>
        <v/>
      </c>
      <c r="P8" s="20"/>
      <c r="Q8" s="20"/>
      <c r="R8" s="17"/>
      <c r="S8" s="17"/>
    </row>
    <row r="9" spans="1:19" s="1" customFormat="1" ht="17.25" customHeight="1" x14ac:dyDescent="0.25">
      <c r="A9" s="99"/>
      <c r="B9" s="66"/>
      <c r="C9" s="67"/>
      <c r="D9" s="62" t="str">
        <f>IF(测量值!D9&lt;&gt;"",测量值!D9,"")</f>
        <v/>
      </c>
      <c r="E9" s="64" t="str">
        <f>IF(测量值!Y9&lt;&gt;"",测量值!Y9,"")</f>
        <v/>
      </c>
      <c r="F9" s="62" t="str">
        <f>IF(MAX(测量值!H9:'测量值'!J9) &lt;&gt; 0, MAX(测量值!H9:J9) - MIN(测量值!H9:J9),"")</f>
        <v/>
      </c>
      <c r="G9" s="62" t="str">
        <f>IF(MAX(测量值!D9:'测量值'!E9) &lt;&gt;0, MAX(ABS(测量值!D9-测量值!E9),ABS(测量值!F9-测量值!G9)),"")</f>
        <v/>
      </c>
      <c r="H9" s="62" t="str">
        <f>IF(测量值!K9&lt;&gt;"",测量值!K9,"")</f>
        <v/>
      </c>
      <c r="I9" s="64" t="str">
        <f>IF(测量值!Z9&lt;&gt;"",测量值!Z9,"")</f>
        <v/>
      </c>
      <c r="J9" s="62" t="str">
        <f>IF(MAX(测量值!O9:'测量值'!Q9) &lt;&gt; 0, MAX(测量值!O9:Q9) - MIN(测量值!O9:Q9),"")</f>
        <v/>
      </c>
      <c r="K9" s="62" t="str">
        <f>IF(MAX(测量值!J9:'测量值'!K9) &lt;&gt;0, MAX(ABS(测量值!J9-测量值!K9),ABS(测量值!L9-测量值!M9)),"")</f>
        <v/>
      </c>
      <c r="L9" s="62" t="str">
        <f>IF(测量值!R9&lt;&gt;"",测量值!R9,"")</f>
        <v/>
      </c>
      <c r="M9" s="64" t="str">
        <f>IF(测量值!AA9&lt;&gt;"",测量值!AA9,"")</f>
        <v/>
      </c>
      <c r="N9" s="63" t="str">
        <f>IF(MAX(测量值!V9:'测量值'!X9) &lt;&gt; 0, MAX(测量值!V9:X9) - MIN(测量值!V9:X9),"")</f>
        <v/>
      </c>
      <c r="O9" s="62" t="str">
        <f>IF(MAX(测量值!R9:'测量值'!S9) &lt;&gt;0, MAX(ABS(测量值!R9-测量值!S9),ABS(测量值!T9-测量值!U9)),"")</f>
        <v/>
      </c>
      <c r="P9" s="20"/>
      <c r="Q9" s="20"/>
      <c r="R9" s="17"/>
      <c r="S9" s="17"/>
    </row>
    <row r="10" spans="1:19" s="1" customFormat="1" ht="17.25" customHeight="1" x14ac:dyDescent="0.25">
      <c r="A10" s="99"/>
      <c r="B10" s="66"/>
      <c r="C10" s="67"/>
      <c r="D10" s="62" t="str">
        <f>IF(测量值!D10&lt;&gt;"",测量值!D10,"")</f>
        <v/>
      </c>
      <c r="E10" s="64" t="str">
        <f>IF(测量值!Y10&lt;&gt;"",测量值!Y10,"")</f>
        <v/>
      </c>
      <c r="F10" s="62" t="str">
        <f>IF(MAX(测量值!H10:'测量值'!J10) &lt;&gt; 0, MAX(测量值!H10:J10) - MIN(测量值!H10:J10),"")</f>
        <v/>
      </c>
      <c r="G10" s="62" t="str">
        <f>IF(MAX(测量值!D10:'测量值'!E10) &lt;&gt;0, MAX(ABS(测量值!D10-测量值!E10),ABS(测量值!F10-测量值!G10)),"")</f>
        <v/>
      </c>
      <c r="H10" s="62" t="str">
        <f>IF(测量值!K10&lt;&gt;"",测量值!K10,"")</f>
        <v/>
      </c>
      <c r="I10" s="64" t="str">
        <f>IF(测量值!Z10&lt;&gt;"",测量值!Z10,"")</f>
        <v/>
      </c>
      <c r="J10" s="62" t="str">
        <f>IF(MAX(测量值!O10:'测量值'!Q10) &lt;&gt; 0, MAX(测量值!O10:Q10) - MIN(测量值!O10:Q10),"")</f>
        <v/>
      </c>
      <c r="K10" s="62" t="str">
        <f>IF(MAX(测量值!J10:'测量值'!K10) &lt;&gt;0, MAX(ABS(测量值!J10-测量值!K10),ABS(测量值!L10-测量值!M10)),"")</f>
        <v/>
      </c>
      <c r="L10" s="62" t="str">
        <f>IF(测量值!R10&lt;&gt;"",测量值!R10,"")</f>
        <v/>
      </c>
      <c r="M10" s="64" t="str">
        <f>IF(测量值!AA10&lt;&gt;"",测量值!AA10,"")</f>
        <v/>
      </c>
      <c r="N10" s="63" t="str">
        <f>IF(MAX(测量值!V10:'测量值'!X10) &lt;&gt; 0, MAX(测量值!V10:X10) - MIN(测量值!V10:X10),"")</f>
        <v/>
      </c>
      <c r="O10" s="62" t="str">
        <f>IF(MAX(测量值!R10:'测量值'!S10) &lt;&gt;0, MAX(ABS(测量值!R10-测量值!S10),ABS(测量值!T10-测量值!U10)),"")</f>
        <v/>
      </c>
      <c r="P10" s="20"/>
      <c r="Q10" s="20"/>
      <c r="R10" s="17"/>
      <c r="S10" s="17"/>
    </row>
    <row r="11" spans="1:19" s="1" customFormat="1" ht="17.25" customHeight="1" x14ac:dyDescent="0.25">
      <c r="A11" s="99"/>
      <c r="B11" s="66"/>
      <c r="C11" s="67"/>
      <c r="D11" s="62" t="str">
        <f>IF(测量值!D11&lt;&gt;"",测量值!D11,"")</f>
        <v/>
      </c>
      <c r="E11" s="64" t="str">
        <f>IF(测量值!Y11&lt;&gt;"",测量值!Y11,"")</f>
        <v/>
      </c>
      <c r="F11" s="62" t="str">
        <f>IF(MAX(测量值!H11:'测量值'!J11) &lt;&gt; 0, MAX(测量值!H11:J11) - MIN(测量值!H11:J11),"")</f>
        <v/>
      </c>
      <c r="G11" s="62" t="str">
        <f>IF(MAX(测量值!D11:'测量值'!E11) &lt;&gt;0, MAX(ABS(测量值!D11-测量值!E11),ABS(测量值!F11-测量值!G11)),"")</f>
        <v/>
      </c>
      <c r="H11" s="62" t="str">
        <f>IF(测量值!K11&lt;&gt;"",测量值!K11,"")</f>
        <v/>
      </c>
      <c r="I11" s="64" t="str">
        <f>IF(测量值!Z11&lt;&gt;"",测量值!Z11,"")</f>
        <v/>
      </c>
      <c r="J11" s="62" t="str">
        <f>IF(MAX(测量值!O11:'测量值'!Q11) &lt;&gt; 0, MAX(测量值!O11:Q11) - MIN(测量值!O11:Q11),"")</f>
        <v/>
      </c>
      <c r="K11" s="62" t="str">
        <f>IF(MAX(测量值!J11:'测量值'!K11) &lt;&gt;0, MAX(ABS(测量值!J11-测量值!K11),ABS(测量值!L11-测量值!M11)),"")</f>
        <v/>
      </c>
      <c r="L11" s="62" t="str">
        <f>IF(测量值!R11&lt;&gt;"",测量值!R11,"")</f>
        <v/>
      </c>
      <c r="M11" s="64" t="str">
        <f>IF(测量值!AA11&lt;&gt;"",测量值!AA11,"")</f>
        <v/>
      </c>
      <c r="N11" s="63" t="str">
        <f>IF(MAX(测量值!V11:'测量值'!X11) &lt;&gt; 0, MAX(测量值!V11:X11) - MIN(测量值!V11:X11),"")</f>
        <v/>
      </c>
      <c r="O11" s="62" t="str">
        <f>IF(MAX(测量值!R11:'测量值'!S11) &lt;&gt;0, MAX(ABS(测量值!R11-测量值!S11),ABS(测量值!T11-测量值!U11)),"")</f>
        <v/>
      </c>
      <c r="P11" s="20"/>
      <c r="Q11" s="20"/>
      <c r="R11" s="17"/>
      <c r="S11" s="17"/>
    </row>
    <row r="12" spans="1:19" s="1" customFormat="1" ht="17.25" customHeight="1" x14ac:dyDescent="0.25">
      <c r="A12" s="99"/>
      <c r="B12" s="66"/>
      <c r="C12" s="67"/>
      <c r="D12" s="62" t="str">
        <f>IF(测量值!D12&lt;&gt;"",测量值!D12,"")</f>
        <v/>
      </c>
      <c r="E12" s="64" t="str">
        <f>IF(测量值!Y12&lt;&gt;"",测量值!Y12,"")</f>
        <v/>
      </c>
      <c r="F12" s="62" t="str">
        <f>IF(MAX(测量值!H12:'测量值'!J12) &lt;&gt; 0, MAX(测量值!H12:J12) - MIN(测量值!H12:J12),"")</f>
        <v/>
      </c>
      <c r="G12" s="62" t="str">
        <f>IF(MAX(测量值!D12:'测量值'!E12) &lt;&gt;0, MAX(ABS(测量值!D12-测量值!E12),ABS(测量值!F12-测量值!G12)),"")</f>
        <v/>
      </c>
      <c r="H12" s="62" t="str">
        <f>IF(测量值!K12&lt;&gt;"",测量值!K12,"")</f>
        <v/>
      </c>
      <c r="I12" s="64" t="str">
        <f>IF(测量值!Z12&lt;&gt;"",测量值!Z12,"")</f>
        <v/>
      </c>
      <c r="J12" s="62" t="str">
        <f>IF(MAX(测量值!O12:'测量值'!Q12) &lt;&gt; 0, MAX(测量值!O12:Q12) - MIN(测量值!O12:Q12),"")</f>
        <v/>
      </c>
      <c r="K12" s="62" t="str">
        <f>IF(MAX(测量值!J12:'测量值'!K12) &lt;&gt;0, MAX(ABS(测量值!J12-测量值!K12),ABS(测量值!L12-测量值!M12)),"")</f>
        <v/>
      </c>
      <c r="L12" s="62" t="str">
        <f>IF(测量值!R12&lt;&gt;"",测量值!R12,"")</f>
        <v/>
      </c>
      <c r="M12" s="64" t="str">
        <f>IF(测量值!AA12&lt;&gt;"",测量值!AA12,"")</f>
        <v/>
      </c>
      <c r="N12" s="63" t="str">
        <f>IF(MAX(测量值!V12:'测量值'!X12) &lt;&gt; 0, MAX(测量值!V12:X12) - MIN(测量值!V12:X12),"")</f>
        <v/>
      </c>
      <c r="O12" s="62" t="str">
        <f>IF(MAX(测量值!R12:'测量值'!S12) &lt;&gt;0, MAX(ABS(测量值!R12-测量值!S12),ABS(测量值!T12-测量值!U12)),"")</f>
        <v/>
      </c>
      <c r="P12" s="20"/>
      <c r="Q12" s="20"/>
      <c r="R12" s="17"/>
      <c r="S12" s="17"/>
    </row>
    <row r="13" spans="1:19" s="1" customFormat="1" ht="17.25" customHeight="1" x14ac:dyDescent="0.25">
      <c r="A13" s="99"/>
      <c r="B13" s="66"/>
      <c r="C13" s="67"/>
      <c r="D13" s="62" t="str">
        <f>IF(测量值!D13&lt;&gt;"",测量值!D13,"")</f>
        <v/>
      </c>
      <c r="E13" s="64" t="str">
        <f>IF(测量值!Y13&lt;&gt;"",测量值!Y13,"")</f>
        <v/>
      </c>
      <c r="F13" s="62" t="str">
        <f>IF(MAX(测量值!H13:'测量值'!J13) &lt;&gt; 0, MAX(测量值!H13:J13) - MIN(测量值!H13:J13),"")</f>
        <v/>
      </c>
      <c r="G13" s="62" t="str">
        <f>IF(MAX(测量值!D13:'测量值'!E13) &lt;&gt;0, MAX(ABS(测量值!D13-测量值!E13),ABS(测量值!F13-测量值!G13)),"")</f>
        <v/>
      </c>
      <c r="H13" s="62" t="str">
        <f>IF(测量值!K13&lt;&gt;"",测量值!K13,"")</f>
        <v/>
      </c>
      <c r="I13" s="64" t="str">
        <f>IF(测量值!Z13&lt;&gt;"",测量值!Z13,"")</f>
        <v/>
      </c>
      <c r="J13" s="62" t="str">
        <f>IF(MAX(测量值!O13:'测量值'!Q13) &lt;&gt; 0, MAX(测量值!O13:Q13) - MIN(测量值!O13:Q13),"")</f>
        <v/>
      </c>
      <c r="K13" s="62" t="str">
        <f>IF(MAX(测量值!J13:'测量值'!K13) &lt;&gt;0, MAX(ABS(测量值!J13-测量值!K13),ABS(测量值!L13-测量值!M13)),"")</f>
        <v/>
      </c>
      <c r="L13" s="62" t="str">
        <f>IF(测量值!R13&lt;&gt;"",测量值!R13,"")</f>
        <v/>
      </c>
      <c r="M13" s="64" t="str">
        <f>IF(测量值!AA13&lt;&gt;"",测量值!AA13,"")</f>
        <v/>
      </c>
      <c r="N13" s="63" t="str">
        <f>IF(MAX(测量值!V13:'测量值'!X13) &lt;&gt; 0, MAX(测量值!V13:X13) - MIN(测量值!V13:X13),"")</f>
        <v/>
      </c>
      <c r="O13" s="62" t="str">
        <f>IF(MAX(测量值!R13:'测量值'!S13) &lt;&gt;0, MAX(ABS(测量值!R13-测量值!S13),ABS(测量值!T13-测量值!U13)),"")</f>
        <v/>
      </c>
      <c r="P13" s="20"/>
      <c r="Q13" s="20"/>
      <c r="R13" s="17"/>
      <c r="S13" s="17"/>
    </row>
    <row r="14" spans="1:19" s="1" customFormat="1" ht="17.25" customHeight="1" x14ac:dyDescent="0.25">
      <c r="A14" s="99"/>
      <c r="B14" s="66"/>
      <c r="C14" s="67"/>
      <c r="D14" s="62" t="str">
        <f>IF(测量值!D14&lt;&gt;"",测量值!D14,"")</f>
        <v/>
      </c>
      <c r="E14" s="64" t="str">
        <f>IF(测量值!Y14&lt;&gt;"",测量值!Y14,"")</f>
        <v/>
      </c>
      <c r="F14" s="62" t="str">
        <f>IF(MAX(测量值!H14:'测量值'!J14) &lt;&gt; 0, MAX(测量值!H14:J14) - MIN(测量值!H14:J14),"")</f>
        <v/>
      </c>
      <c r="G14" s="62" t="str">
        <f>IF(MAX(测量值!D14:'测量值'!E14) &lt;&gt;0, MAX(ABS(测量值!D14-测量值!E14),ABS(测量值!F14-测量值!G14)),"")</f>
        <v/>
      </c>
      <c r="H14" s="62" t="str">
        <f>IF(测量值!K14&lt;&gt;"",测量值!K14,"")</f>
        <v/>
      </c>
      <c r="I14" s="64" t="str">
        <f>IF(测量值!Z14&lt;&gt;"",测量值!Z14,"")</f>
        <v/>
      </c>
      <c r="J14" s="62" t="str">
        <f>IF(MAX(测量值!O14:'测量值'!Q14) &lt;&gt; 0, MAX(测量值!O14:Q14) - MIN(测量值!O14:Q14),"")</f>
        <v/>
      </c>
      <c r="K14" s="62" t="str">
        <f>IF(MAX(测量值!J14:'测量值'!K14) &lt;&gt;0, MAX(ABS(测量值!J14-测量值!K14),ABS(测量值!L14-测量值!M14)),"")</f>
        <v/>
      </c>
      <c r="L14" s="62" t="str">
        <f>IF(测量值!R14&lt;&gt;"",测量值!R14,"")</f>
        <v/>
      </c>
      <c r="M14" s="64" t="str">
        <f>IF(测量值!AA14&lt;&gt;"",测量值!AA14,"")</f>
        <v/>
      </c>
      <c r="N14" s="63" t="str">
        <f>IF(MAX(测量值!V14:'测量值'!X14) &lt;&gt; 0, MAX(测量值!V14:X14) - MIN(测量值!V14:X14),"")</f>
        <v/>
      </c>
      <c r="O14" s="62" t="str">
        <f>IF(MAX(测量值!R14:'测量值'!S14) &lt;&gt;0, MAX(ABS(测量值!R14-测量值!S14),ABS(测量值!T14-测量值!U14)),"")</f>
        <v/>
      </c>
      <c r="P14" s="20"/>
      <c r="Q14" s="20"/>
      <c r="R14" s="17"/>
      <c r="S14" s="17"/>
    </row>
    <row r="15" spans="1:19" s="1" customFormat="1" ht="17.25" customHeight="1" x14ac:dyDescent="0.25">
      <c r="A15" s="99"/>
      <c r="B15" s="66"/>
      <c r="C15" s="67"/>
      <c r="D15" s="62" t="str">
        <f>IF(测量值!D15&lt;&gt;"",测量值!D15,"")</f>
        <v/>
      </c>
      <c r="E15" s="64" t="str">
        <f>IF(测量值!Y15&lt;&gt;"",测量值!Y15,"")</f>
        <v/>
      </c>
      <c r="F15" s="62" t="str">
        <f>IF(MAX(测量值!H15:'测量值'!J15) &lt;&gt; 0, MAX(测量值!H15:J15) - MIN(测量值!H15:J15),"")</f>
        <v/>
      </c>
      <c r="G15" s="62" t="str">
        <f>IF(MAX(测量值!D15:'测量值'!E15) &lt;&gt;0, MAX(ABS(测量值!D15-测量值!E15),ABS(测量值!F15-测量值!G15)),"")</f>
        <v/>
      </c>
      <c r="H15" s="62" t="str">
        <f>IF(测量值!K15&lt;&gt;"",测量值!K15,"")</f>
        <v/>
      </c>
      <c r="I15" s="64" t="str">
        <f>IF(测量值!Z15&lt;&gt;"",测量值!Z15,"")</f>
        <v/>
      </c>
      <c r="J15" s="62" t="str">
        <f>IF(MAX(测量值!O15:'测量值'!Q15) &lt;&gt; 0, MAX(测量值!O15:Q15) - MIN(测量值!O15:Q15),"")</f>
        <v/>
      </c>
      <c r="K15" s="62" t="str">
        <f>IF(MAX(测量值!J15:'测量值'!K15) &lt;&gt;0, MAX(ABS(测量值!J15-测量值!K15),ABS(测量值!L15-测量值!M15)),"")</f>
        <v/>
      </c>
      <c r="L15" s="62" t="str">
        <f>IF(测量值!R15&lt;&gt;"",测量值!R15,"")</f>
        <v/>
      </c>
      <c r="M15" s="64" t="str">
        <f>IF(测量值!AA15&lt;&gt;"",测量值!AA15,"")</f>
        <v/>
      </c>
      <c r="N15" s="63" t="str">
        <f>IF(MAX(测量值!V15:'测量值'!X15) &lt;&gt; 0, MAX(测量值!V15:X15) - MIN(测量值!V15:X15),"")</f>
        <v/>
      </c>
      <c r="O15" s="62" t="str">
        <f>IF(MAX(测量值!R15:'测量值'!S15) &lt;&gt;0, MAX(ABS(测量值!R15-测量值!S15),ABS(测量值!T15-测量值!U15)),"")</f>
        <v/>
      </c>
      <c r="P15" s="20"/>
      <c r="Q15" s="20"/>
      <c r="R15" s="17"/>
      <c r="S15" s="17"/>
    </row>
    <row r="16" spans="1:19" s="1" customFormat="1" ht="17.25" customHeight="1" x14ac:dyDescent="0.25">
      <c r="A16" s="99"/>
      <c r="B16" s="66"/>
      <c r="C16" s="67"/>
      <c r="D16" s="62" t="str">
        <f>IF(测量值!D16&lt;&gt;"",测量值!D16,"")</f>
        <v/>
      </c>
      <c r="E16" s="64" t="str">
        <f>IF(测量值!Y16&lt;&gt;"",测量值!Y16,"")</f>
        <v/>
      </c>
      <c r="F16" s="62" t="str">
        <f>IF(MAX(测量值!H16:'测量值'!J16) &lt;&gt; 0, MAX(测量值!H16:J16) - MIN(测量值!H16:J16),"")</f>
        <v/>
      </c>
      <c r="G16" s="62" t="str">
        <f>IF(MAX(测量值!D16:'测量值'!E16) &lt;&gt;0, MAX(ABS(测量值!D16-测量值!E16),ABS(测量值!F16-测量值!G16)),"")</f>
        <v/>
      </c>
      <c r="H16" s="62" t="str">
        <f>IF(测量值!K16&lt;&gt;"",测量值!K16,"")</f>
        <v/>
      </c>
      <c r="I16" s="64" t="str">
        <f>IF(测量值!Z16&lt;&gt;"",测量值!Z16,"")</f>
        <v/>
      </c>
      <c r="J16" s="62" t="str">
        <f>IF(MAX(测量值!O16:'测量值'!Q16) &lt;&gt; 0, MAX(测量值!O16:Q16) - MIN(测量值!O16:Q16),"")</f>
        <v/>
      </c>
      <c r="K16" s="62" t="str">
        <f>IF(MAX(测量值!J16:'测量值'!K16) &lt;&gt;0, MAX(ABS(测量值!J16-测量值!K16),ABS(测量值!L16-测量值!M16)),"")</f>
        <v/>
      </c>
      <c r="L16" s="62" t="str">
        <f>IF(测量值!R16&lt;&gt;"",测量值!R16,"")</f>
        <v/>
      </c>
      <c r="M16" s="64" t="str">
        <f>IF(测量值!AA16&lt;&gt;"",测量值!AA16,"")</f>
        <v/>
      </c>
      <c r="N16" s="63" t="str">
        <f>IF(MAX(测量值!V16:'测量值'!X16) &lt;&gt; 0, MAX(测量值!V16:X16) - MIN(测量值!V16:X16),"")</f>
        <v/>
      </c>
      <c r="O16" s="62" t="str">
        <f>IF(MAX(测量值!R16:'测量值'!S16) &lt;&gt;0, MAX(ABS(测量值!R16-测量值!S16),ABS(测量值!T16-测量值!U16)),"")</f>
        <v/>
      </c>
      <c r="P16" s="20"/>
      <c r="Q16" s="20"/>
      <c r="R16" s="17"/>
      <c r="S16" s="17"/>
    </row>
    <row r="17" spans="1:19" s="1" customFormat="1" ht="17.25" customHeight="1" x14ac:dyDescent="0.25">
      <c r="A17" s="99"/>
      <c r="B17" s="66"/>
      <c r="C17" s="67"/>
      <c r="D17" s="62" t="str">
        <f>IF(测量值!D17&lt;&gt;"",测量值!D17,"")</f>
        <v/>
      </c>
      <c r="E17" s="64" t="str">
        <f>IF(测量值!Y17&lt;&gt;"",测量值!Y17,"")</f>
        <v/>
      </c>
      <c r="F17" s="62" t="str">
        <f>IF(MAX(测量值!H17:'测量值'!J17) &lt;&gt; 0, MAX(测量值!H17:J17) - MIN(测量值!H17:J17),"")</f>
        <v/>
      </c>
      <c r="G17" s="62" t="str">
        <f>IF(MAX(测量值!D17:'测量值'!E17) &lt;&gt;0, MAX(ABS(测量值!D17-测量值!E17),ABS(测量值!F17-测量值!G17)),"")</f>
        <v/>
      </c>
      <c r="H17" s="62" t="str">
        <f>IF(测量值!K17&lt;&gt;"",测量值!K17,"")</f>
        <v/>
      </c>
      <c r="I17" s="64" t="str">
        <f>IF(测量值!Z17&lt;&gt;"",测量值!Z17,"")</f>
        <v/>
      </c>
      <c r="J17" s="62" t="str">
        <f>IF(MAX(测量值!O17:'测量值'!Q17) &lt;&gt; 0, MAX(测量值!O17:Q17) - MIN(测量值!O17:Q17),"")</f>
        <v/>
      </c>
      <c r="K17" s="62" t="str">
        <f>IF(MAX(测量值!J17:'测量值'!K17) &lt;&gt;0, MAX(ABS(测量值!J17-测量值!K17),ABS(测量值!L17-测量值!M17)),"")</f>
        <v/>
      </c>
      <c r="L17" s="62" t="str">
        <f>IF(测量值!R17&lt;&gt;"",测量值!R17,"")</f>
        <v/>
      </c>
      <c r="M17" s="64" t="str">
        <f>IF(测量值!AA17&lt;&gt;"",测量值!AA17,"")</f>
        <v/>
      </c>
      <c r="N17" s="63" t="str">
        <f>IF(MAX(测量值!V17:'测量值'!X17) &lt;&gt; 0, MAX(测量值!V17:X17) - MIN(测量值!V17:X17),"")</f>
        <v/>
      </c>
      <c r="O17" s="62" t="str">
        <f>IF(MAX(测量值!R17:'测量值'!S17) &lt;&gt;0, MAX(ABS(测量值!R17-测量值!S17),ABS(测量值!T17-测量值!U17)),"")</f>
        <v/>
      </c>
      <c r="P17" s="20"/>
      <c r="Q17" s="17"/>
      <c r="R17" s="17"/>
      <c r="S17" s="17"/>
    </row>
    <row r="18" spans="1:19" s="1" customFormat="1" ht="17.25" customHeight="1" x14ac:dyDescent="0.25">
      <c r="A18" s="99"/>
      <c r="B18" s="66"/>
      <c r="C18" s="67"/>
      <c r="D18" s="62" t="str">
        <f>IF(测量值!D18&lt;&gt;"",测量值!D18,"")</f>
        <v/>
      </c>
      <c r="E18" s="64" t="str">
        <f>IF(测量值!Y18&lt;&gt;"",测量值!Y18,"")</f>
        <v/>
      </c>
      <c r="F18" s="62" t="str">
        <f>IF(MAX(测量值!H18:'测量值'!J18) &lt;&gt; 0, MAX(测量值!H18:J18) - MIN(测量值!H18:J18),"")</f>
        <v/>
      </c>
      <c r="G18" s="62" t="str">
        <f>IF(MAX(测量值!D18:'测量值'!E18) &lt;&gt;0, MAX(ABS(测量值!D18-测量值!E18),ABS(测量值!F18-测量值!G18)),"")</f>
        <v/>
      </c>
      <c r="H18" s="62" t="str">
        <f>IF(测量值!K18&lt;&gt;"",测量值!K18,"")</f>
        <v/>
      </c>
      <c r="I18" s="64" t="str">
        <f>IF(测量值!Z18&lt;&gt;"",测量值!Z18,"")</f>
        <v/>
      </c>
      <c r="J18" s="62" t="str">
        <f>IF(MAX(测量值!O18:'测量值'!Q18) &lt;&gt; 0, MAX(测量值!O18:Q18) - MIN(测量值!O18:Q18),"")</f>
        <v/>
      </c>
      <c r="K18" s="62" t="str">
        <f>IF(MAX(测量值!J18:'测量值'!K18) &lt;&gt;0, MAX(ABS(测量值!J18-测量值!K18),ABS(测量值!L18-测量值!M18)),"")</f>
        <v/>
      </c>
      <c r="L18" s="62" t="str">
        <f>IF(测量值!R18&lt;&gt;"",测量值!R18,"")</f>
        <v/>
      </c>
      <c r="M18" s="64" t="str">
        <f>IF(测量值!AA18&lt;&gt;"",测量值!AA18,"")</f>
        <v/>
      </c>
      <c r="N18" s="63" t="str">
        <f>IF(MAX(测量值!V18:'测量值'!X18) &lt;&gt; 0, MAX(测量值!V18:X18) - MIN(测量值!V18:X18),"")</f>
        <v/>
      </c>
      <c r="O18" s="62" t="str">
        <f>IF(MAX(测量值!R18:'测量值'!S18) &lt;&gt;0, MAX(ABS(测量值!R18-测量值!S18),ABS(测量值!T18-测量值!U18)),"")</f>
        <v/>
      </c>
      <c r="P18" s="20"/>
      <c r="Q18" s="17"/>
      <c r="R18" s="17"/>
      <c r="S18" s="17"/>
    </row>
    <row r="19" spans="1:19" s="1" customFormat="1" ht="17.25" customHeight="1" x14ac:dyDescent="0.25">
      <c r="A19" s="99"/>
      <c r="B19" s="66"/>
      <c r="C19" s="67"/>
      <c r="D19" s="62" t="str">
        <f>IF(测量值!D19&lt;&gt;"",测量值!D19,"")</f>
        <v/>
      </c>
      <c r="E19" s="64" t="str">
        <f>IF(测量值!Y19&lt;&gt;"",测量值!Y19,"")</f>
        <v/>
      </c>
      <c r="F19" s="62" t="str">
        <f>IF(MAX(测量值!H19:'测量值'!J19) &lt;&gt; 0, MAX(测量值!H19:J19) - MIN(测量值!H19:J19),"")</f>
        <v/>
      </c>
      <c r="G19" s="62" t="str">
        <f>IF(MAX(测量值!D19:'测量值'!E19) &lt;&gt;0, MAX(ABS(测量值!D19-测量值!E19),ABS(测量值!F19-测量值!G19)),"")</f>
        <v/>
      </c>
      <c r="H19" s="62" t="str">
        <f>IF(测量值!K19&lt;&gt;"",测量值!K19,"")</f>
        <v/>
      </c>
      <c r="I19" s="64" t="str">
        <f>IF(测量值!Z19&lt;&gt;"",测量值!Z19,"")</f>
        <v/>
      </c>
      <c r="J19" s="62" t="str">
        <f>IF(MAX(测量值!O19:'测量值'!Q19) &lt;&gt; 0, MAX(测量值!O19:Q19) - MIN(测量值!O19:Q19),"")</f>
        <v/>
      </c>
      <c r="K19" s="62" t="str">
        <f>IF(MAX(测量值!J19:'测量值'!K19) &lt;&gt;0, MAX(ABS(测量值!J19-测量值!K19),ABS(测量值!L19-测量值!M19)),"")</f>
        <v/>
      </c>
      <c r="L19" s="62" t="str">
        <f>IF(测量值!R19&lt;&gt;"",测量值!R19,"")</f>
        <v/>
      </c>
      <c r="M19" s="64" t="str">
        <f>IF(测量值!AA19&lt;&gt;"",测量值!AA19,"")</f>
        <v/>
      </c>
      <c r="N19" s="63" t="str">
        <f>IF(MAX(测量值!V19:'测量值'!X19) &lt;&gt; 0, MAX(测量值!V19:X19) - MIN(测量值!V19:X19),"")</f>
        <v/>
      </c>
      <c r="O19" s="62" t="str">
        <f>IF(MAX(测量值!R19:'测量值'!S19) &lt;&gt;0, MAX(ABS(测量值!R19-测量值!S19),ABS(测量值!T19-测量值!U19)),"")</f>
        <v/>
      </c>
      <c r="P19" s="20"/>
      <c r="Q19" s="17"/>
      <c r="R19" s="17"/>
      <c r="S19" s="17"/>
    </row>
    <row r="20" spans="1:19" s="1" customFormat="1" ht="17.25" customHeight="1" x14ac:dyDescent="0.25">
      <c r="A20" s="99"/>
      <c r="B20" s="66"/>
      <c r="C20" s="67"/>
      <c r="D20" s="62" t="str">
        <f>IF(测量值!D20&lt;&gt;"",测量值!D20,"")</f>
        <v/>
      </c>
      <c r="E20" s="64" t="str">
        <f>IF(测量值!Y20&lt;&gt;"",测量值!Y20,"")</f>
        <v/>
      </c>
      <c r="F20" s="62" t="str">
        <f>IF(MAX(测量值!H20:'测量值'!J20) &lt;&gt; 0, MAX(测量值!H20:J20) - MIN(测量值!H20:J20),"")</f>
        <v/>
      </c>
      <c r="G20" s="62" t="str">
        <f>IF(MAX(测量值!D20:'测量值'!E20) &lt;&gt;0, MAX(ABS(测量值!D20-测量值!E20),ABS(测量值!F20-测量值!G20)),"")</f>
        <v/>
      </c>
      <c r="H20" s="62" t="str">
        <f>IF(测量值!K20&lt;&gt;"",测量值!K20,"")</f>
        <v/>
      </c>
      <c r="I20" s="64" t="str">
        <f>IF(测量值!Z20&lt;&gt;"",测量值!Z20,"")</f>
        <v/>
      </c>
      <c r="J20" s="62" t="str">
        <f>IF(MAX(测量值!O20:'测量值'!Q20) &lt;&gt; 0, MAX(测量值!O20:Q20) - MIN(测量值!O20:Q20),"")</f>
        <v/>
      </c>
      <c r="K20" s="62" t="str">
        <f>IF(MAX(测量值!J20:'测量值'!K20) &lt;&gt;0, MAX(ABS(测量值!J20-测量值!K20),ABS(测量值!L20-测量值!M20)),"")</f>
        <v/>
      </c>
      <c r="L20" s="62" t="str">
        <f>IF(测量值!R20&lt;&gt;"",测量值!R20,"")</f>
        <v/>
      </c>
      <c r="M20" s="64" t="str">
        <f>IF(测量值!AA20&lt;&gt;"",测量值!AA20,"")</f>
        <v/>
      </c>
      <c r="N20" s="63" t="str">
        <f>IF(MAX(测量值!V20:'测量值'!X20) &lt;&gt; 0, MAX(测量值!V20:X20) - MIN(测量值!V20:X20),"")</f>
        <v/>
      </c>
      <c r="O20" s="62" t="str">
        <f>IF(MAX(测量值!R20:'测量值'!S20) &lt;&gt;0, MAX(ABS(测量值!R20-测量值!S20),ABS(测量值!T20-测量值!U20)),"")</f>
        <v/>
      </c>
      <c r="P20" s="20"/>
      <c r="Q20" s="17"/>
      <c r="R20" s="17"/>
      <c r="S20" s="17"/>
    </row>
    <row r="21" spans="1:19" s="1" customFormat="1" ht="17.25" customHeight="1" x14ac:dyDescent="0.25">
      <c r="A21" s="99"/>
      <c r="B21" s="66"/>
      <c r="C21" s="67"/>
      <c r="D21" s="62" t="str">
        <f>IF(测量值!D21&lt;&gt;"",测量值!D21,"")</f>
        <v/>
      </c>
      <c r="E21" s="64" t="str">
        <f>IF(测量值!Y21&lt;&gt;"",测量值!Y21,"")</f>
        <v/>
      </c>
      <c r="F21" s="62" t="str">
        <f>IF(MAX(测量值!H21:'测量值'!J21) &lt;&gt; 0, MAX(测量值!H21:J21) - MIN(测量值!H21:J21),"")</f>
        <v/>
      </c>
      <c r="G21" s="62" t="str">
        <f>IF(MAX(测量值!D21:'测量值'!E21) &lt;&gt;0, MAX(ABS(测量值!D21-测量值!E21),ABS(测量值!F21-测量值!G21)),"")</f>
        <v/>
      </c>
      <c r="H21" s="62" t="str">
        <f>IF(测量值!K21&lt;&gt;"",测量值!K21,"")</f>
        <v/>
      </c>
      <c r="I21" s="64" t="str">
        <f>IF(测量值!Z21&lt;&gt;"",测量值!Z21,"")</f>
        <v/>
      </c>
      <c r="J21" s="62" t="str">
        <f>IF(MAX(测量值!O21:'测量值'!Q21) &lt;&gt; 0, MAX(测量值!O21:Q21) - MIN(测量值!O21:Q21),"")</f>
        <v/>
      </c>
      <c r="K21" s="62" t="str">
        <f>IF(MAX(测量值!J21:'测量值'!K21) &lt;&gt;0, MAX(ABS(测量值!J21-测量值!K21),ABS(测量值!L21-测量值!M21)),"")</f>
        <v/>
      </c>
      <c r="L21" s="62" t="str">
        <f>IF(测量值!R21&lt;&gt;"",测量值!R21,"")</f>
        <v/>
      </c>
      <c r="M21" s="64" t="str">
        <f>IF(测量值!AA21&lt;&gt;"",测量值!AA21,"")</f>
        <v/>
      </c>
      <c r="N21" s="63" t="str">
        <f>IF(MAX(测量值!V21:'测量值'!X21) &lt;&gt; 0, MAX(测量值!V21:X21) - MIN(测量值!V21:X21),"")</f>
        <v/>
      </c>
      <c r="O21" s="62" t="str">
        <f>IF(MAX(测量值!R21:'测量值'!S21) &lt;&gt;0, MAX(ABS(测量值!R21-测量值!S21),ABS(测量值!T21-测量值!U21)),"")</f>
        <v/>
      </c>
      <c r="P21" s="20"/>
      <c r="Q21" s="17"/>
      <c r="R21" s="17"/>
      <c r="S21" s="17"/>
    </row>
    <row r="22" spans="1:19" s="1" customFormat="1" ht="6" customHeight="1" x14ac:dyDescent="0.25">
      <c r="A22" s="23"/>
      <c r="B22" s="23"/>
      <c r="C22" s="23"/>
      <c r="D22" s="22"/>
      <c r="E22" s="24"/>
      <c r="F22" s="24"/>
      <c r="G22" s="20" t="str">
        <f>IF(MAX(测量值!D22:'测量值'!E22) &lt;&gt;0, MAX(ABS(测量值!D22-测量值!E22),ABS(测量值!F22-测量值!G22)),"")</f>
        <v/>
      </c>
      <c r="H22" s="24"/>
      <c r="I22" s="24"/>
      <c r="J22" s="24"/>
      <c r="K22" s="24"/>
      <c r="L22" s="24"/>
      <c r="M22" s="24"/>
      <c r="N22" s="24"/>
      <c r="O22" s="24"/>
      <c r="P22" s="24"/>
      <c r="Q22" s="23"/>
      <c r="R22" s="23"/>
      <c r="S22" s="23"/>
    </row>
    <row r="23" spans="1:19" ht="16.2" thickBot="1" x14ac:dyDescent="0.3">
      <c r="A23" s="25" t="s">
        <v>36</v>
      </c>
      <c r="B23" s="26"/>
      <c r="C23" s="27" t="s">
        <v>37</v>
      </c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</row>
    <row r="24" spans="1:19" x14ac:dyDescent="0.25">
      <c r="A24" s="28" t="s">
        <v>25</v>
      </c>
      <c r="B24" s="29" t="s">
        <v>28</v>
      </c>
      <c r="C24" s="84" t="s">
        <v>11</v>
      </c>
      <c r="D24" s="72"/>
      <c r="E24" s="71" t="s">
        <v>12</v>
      </c>
      <c r="F24" s="72"/>
      <c r="G24" s="71" t="s">
        <v>13</v>
      </c>
      <c r="H24" s="72"/>
      <c r="I24" s="71" t="s">
        <v>14</v>
      </c>
      <c r="J24" s="72"/>
      <c r="K24" s="71" t="s">
        <v>15</v>
      </c>
      <c r="L24" s="72"/>
      <c r="M24" s="71" t="s">
        <v>16</v>
      </c>
      <c r="N24" s="72"/>
      <c r="O24" s="71" t="s">
        <v>17</v>
      </c>
      <c r="P24" s="72"/>
      <c r="Q24" s="71" t="s">
        <v>18</v>
      </c>
      <c r="R24" s="73"/>
      <c r="S24" s="74"/>
    </row>
    <row r="25" spans="1:19" x14ac:dyDescent="0.25">
      <c r="A25" s="30" t="s">
        <v>26</v>
      </c>
      <c r="B25" s="82" t="s">
        <v>41</v>
      </c>
      <c r="C25" s="31" t="s">
        <v>29</v>
      </c>
      <c r="D25" s="32"/>
      <c r="E25" s="33" t="s">
        <v>30</v>
      </c>
      <c r="F25" s="32"/>
      <c r="G25" s="33" t="s">
        <v>54</v>
      </c>
      <c r="H25" s="32"/>
      <c r="I25" s="33" t="s">
        <v>19</v>
      </c>
      <c r="J25" s="32"/>
      <c r="K25" s="33" t="s">
        <v>20</v>
      </c>
      <c r="L25" s="32"/>
      <c r="M25" s="33" t="s">
        <v>21</v>
      </c>
      <c r="N25" s="32"/>
      <c r="O25" s="33" t="s">
        <v>22</v>
      </c>
      <c r="P25" s="32"/>
      <c r="Q25" s="33" t="s">
        <v>23</v>
      </c>
      <c r="R25" s="34"/>
      <c r="S25" s="35"/>
    </row>
    <row r="26" spans="1:19" x14ac:dyDescent="0.25">
      <c r="A26" s="36" t="s">
        <v>27</v>
      </c>
      <c r="B26" s="83"/>
      <c r="C26" s="37" t="s">
        <v>59</v>
      </c>
      <c r="D26" s="38"/>
      <c r="E26" s="39" t="s">
        <v>60</v>
      </c>
      <c r="F26" s="38"/>
      <c r="G26" s="39" t="s">
        <v>61</v>
      </c>
      <c r="H26" s="38"/>
      <c r="I26" s="40" t="s">
        <v>62</v>
      </c>
      <c r="J26" s="38"/>
      <c r="K26" s="39" t="s">
        <v>63</v>
      </c>
      <c r="L26" s="38"/>
      <c r="M26" s="85" t="s">
        <v>64</v>
      </c>
      <c r="N26" s="86"/>
      <c r="O26" s="85" t="s">
        <v>65</v>
      </c>
      <c r="P26" s="86"/>
      <c r="Q26" s="85" t="s">
        <v>66</v>
      </c>
      <c r="R26" s="87"/>
      <c r="S26" s="88"/>
    </row>
    <row r="27" spans="1:19" ht="16.2" thickBot="1" x14ac:dyDescent="0.3">
      <c r="A27" s="80"/>
      <c r="B27" s="81"/>
      <c r="C27" s="89" t="s">
        <v>56</v>
      </c>
      <c r="D27" s="90"/>
      <c r="E27" s="91" t="s">
        <v>57</v>
      </c>
      <c r="F27" s="91"/>
      <c r="G27" s="91" t="s">
        <v>55</v>
      </c>
      <c r="H27" s="91"/>
      <c r="I27" s="92" t="s">
        <v>67</v>
      </c>
      <c r="J27" s="92"/>
      <c r="K27" s="41"/>
      <c r="L27" s="42"/>
      <c r="M27" s="41"/>
      <c r="N27" s="42"/>
      <c r="O27" s="41"/>
      <c r="P27" s="42"/>
      <c r="Q27" s="43"/>
      <c r="R27" s="43"/>
      <c r="S27" s="44"/>
    </row>
    <row r="28" spans="1:19" ht="3.75" customHeight="1" x14ac:dyDescent="0.25">
      <c r="A28" s="15"/>
      <c r="B28" s="26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</row>
    <row r="29" spans="1:19" x14ac:dyDescent="0.25">
      <c r="A29" s="27" t="s">
        <v>38</v>
      </c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</row>
    <row r="30" spans="1:19" s="5" customFormat="1" ht="16.5" customHeight="1" x14ac:dyDescent="0.25">
      <c r="A30" s="46" t="s">
        <v>43</v>
      </c>
      <c r="B30" s="47"/>
      <c r="C30" s="47"/>
      <c r="D30" s="47"/>
      <c r="E30" s="47"/>
      <c r="F30" s="47"/>
      <c r="G30" s="47"/>
      <c r="H30" s="47"/>
      <c r="I30" s="45" t="s">
        <v>58</v>
      </c>
      <c r="J30" s="15"/>
      <c r="K30" s="15"/>
      <c r="L30" s="15"/>
      <c r="M30" s="15"/>
      <c r="N30" s="47"/>
      <c r="O30" s="47"/>
      <c r="P30" s="47"/>
      <c r="Q30" s="47"/>
      <c r="R30" s="47"/>
      <c r="S30" s="47"/>
    </row>
    <row r="31" spans="1:19" ht="16.5" customHeight="1" x14ac:dyDescent="0.25">
      <c r="A31" s="48" t="s">
        <v>44</v>
      </c>
      <c r="B31" s="47"/>
      <c r="C31" s="47"/>
      <c r="D31" s="47"/>
      <c r="E31" s="47"/>
      <c r="F31" s="15"/>
      <c r="G31" s="15"/>
      <c r="H31" s="15"/>
      <c r="I31" s="45" t="s">
        <v>45</v>
      </c>
      <c r="J31" s="15"/>
      <c r="K31" s="15"/>
      <c r="L31" s="15"/>
      <c r="M31" s="15"/>
      <c r="N31" s="15"/>
      <c r="O31" s="15"/>
      <c r="P31" s="15"/>
      <c r="Q31" s="15"/>
      <c r="R31" s="15"/>
      <c r="S31" s="15"/>
    </row>
    <row r="32" spans="1:19" ht="16.5" customHeight="1" x14ac:dyDescent="0.15">
      <c r="A32" s="45" t="s">
        <v>46</v>
      </c>
      <c r="B32" s="15"/>
      <c r="C32" s="15"/>
      <c r="D32" s="15"/>
      <c r="E32" s="15"/>
      <c r="F32" s="15"/>
      <c r="G32" s="15"/>
      <c r="H32" s="15"/>
      <c r="I32" s="48" t="s">
        <v>47</v>
      </c>
      <c r="J32" s="15"/>
      <c r="K32" s="15"/>
      <c r="L32" s="15"/>
      <c r="M32" s="15"/>
      <c r="N32" s="15"/>
      <c r="O32" s="15"/>
      <c r="P32" s="15"/>
      <c r="Q32" s="15"/>
      <c r="R32" s="15"/>
      <c r="S32" s="15"/>
    </row>
    <row r="33" spans="1:19" ht="16.5" customHeight="1" x14ac:dyDescent="0.25">
      <c r="A33" s="45" t="s">
        <v>49</v>
      </c>
      <c r="B33" s="15"/>
      <c r="C33" s="15"/>
      <c r="D33" s="15"/>
      <c r="E33" s="15"/>
      <c r="F33" s="45" t="s">
        <v>48</v>
      </c>
      <c r="G33" s="15"/>
      <c r="H33" s="15"/>
      <c r="I33" s="15"/>
      <c r="J33" s="15"/>
      <c r="K33" s="15"/>
      <c r="L33" s="49"/>
      <c r="M33" s="15"/>
      <c r="N33" s="15"/>
      <c r="O33" s="15"/>
      <c r="P33" s="15"/>
      <c r="Q33" s="15"/>
      <c r="R33" s="15"/>
      <c r="S33" s="15"/>
    </row>
    <row r="34" spans="1:19" s="7" customFormat="1" ht="12" x14ac:dyDescent="0.25">
      <c r="L34" s="4" t="s">
        <v>51</v>
      </c>
      <c r="M34" s="6"/>
      <c r="O34" s="6" t="s">
        <v>68</v>
      </c>
    </row>
    <row r="35" spans="1:19" x14ac:dyDescent="0.25">
      <c r="D35" s="2"/>
      <c r="F35" s="2"/>
      <c r="G35" s="2"/>
    </row>
    <row r="36" spans="1:19" x14ac:dyDescent="0.25">
      <c r="D36" s="2"/>
      <c r="F36" s="2"/>
      <c r="G36" s="2"/>
    </row>
    <row r="37" spans="1:19" x14ac:dyDescent="0.25">
      <c r="D37" s="2"/>
      <c r="F37" s="2"/>
      <c r="G37" s="2"/>
    </row>
    <row r="38" spans="1:19" x14ac:dyDescent="0.25">
      <c r="D38" s="2"/>
      <c r="F38" s="2"/>
      <c r="G38" s="2"/>
    </row>
  </sheetData>
  <sheetProtection algorithmName="SHA-512" hashValue="3cx9vkGEctiVRmjz2+TBqcpkVhPBmJzM0rtZTIMUxkeU2mICOvjWNYW8+ajsBZfauecVWZaTymW29zaSTSJXTA==" saltValue="eJOonmtQVqZ/Zg1vPW9v7g==" spinCount="100000" sheet="1" objects="1" scenarios="1"/>
  <mergeCells count="37">
    <mergeCell ref="Q26:S26"/>
    <mergeCell ref="C27:D27"/>
    <mergeCell ref="E27:F27"/>
    <mergeCell ref="G27:H27"/>
    <mergeCell ref="I27:J27"/>
    <mergeCell ref="A27:B27"/>
    <mergeCell ref="B25:B26"/>
    <mergeCell ref="C24:D24"/>
    <mergeCell ref="M26:N26"/>
    <mergeCell ref="O26:P26"/>
    <mergeCell ref="M24:N24"/>
    <mergeCell ref="B5:C6"/>
    <mergeCell ref="I24:J24"/>
    <mergeCell ref="K24:L24"/>
    <mergeCell ref="B19:C19"/>
    <mergeCell ref="B20:C20"/>
    <mergeCell ref="B11:C11"/>
    <mergeCell ref="B12:C12"/>
    <mergeCell ref="B13:C13"/>
    <mergeCell ref="B14:C14"/>
    <mergeCell ref="B18:C18"/>
    <mergeCell ref="A1:S1"/>
    <mergeCell ref="A4:B4"/>
    <mergeCell ref="S4:S6"/>
    <mergeCell ref="E24:F24"/>
    <mergeCell ref="B21:C21"/>
    <mergeCell ref="B15:C15"/>
    <mergeCell ref="B16:C16"/>
    <mergeCell ref="B17:C17"/>
    <mergeCell ref="B7:C7"/>
    <mergeCell ref="B8:C8"/>
    <mergeCell ref="B9:C9"/>
    <mergeCell ref="B10:C10"/>
    <mergeCell ref="G24:H24"/>
    <mergeCell ref="Q24:S24"/>
    <mergeCell ref="A5:A6"/>
    <mergeCell ref="O24:P24"/>
  </mergeCells>
  <phoneticPr fontId="2" type="noConversion"/>
  <printOptions horizontalCentered="1" verticalCentered="1"/>
  <pageMargins left="0.19685039370078741" right="0.19685039370078741" top="0.27559055118110237" bottom="0.19685039370078741" header="0.27559055118110237" footer="0.15748031496062992"/>
  <pageSetup paperSize="9" scale="98" orientation="landscape" horizontalDpi="4294967293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38"/>
  <sheetViews>
    <sheetView tabSelected="1" zoomScale="70" zoomScaleNormal="70" workbookViewId="0">
      <selection activeCell="E7" sqref="E7:F12"/>
    </sheetView>
  </sheetViews>
  <sheetFormatPr defaultRowHeight="15.6" x14ac:dyDescent="0.25"/>
  <cols>
    <col min="1" max="1" width="20.19921875" customWidth="1"/>
    <col min="2" max="3" width="6.3984375" customWidth="1"/>
    <col min="4" max="4" width="6.59765625" customWidth="1"/>
    <col min="5" max="5" width="8.3984375" customWidth="1"/>
    <col min="6" max="11" width="6.59765625" customWidth="1"/>
    <col min="12" max="12" width="7.19921875" customWidth="1"/>
    <col min="13" max="29" width="6.59765625" customWidth="1"/>
    <col min="30" max="30" width="9.5" customWidth="1"/>
  </cols>
  <sheetData>
    <row r="1" spans="1:30" ht="32.4" x14ac:dyDescent="0.25">
      <c r="A1" s="93" t="s">
        <v>52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</row>
    <row r="2" spans="1:30" s="3" customFormat="1" ht="21.75" customHeight="1" x14ac:dyDescent="0.25">
      <c r="A2" s="8" t="s">
        <v>53</v>
      </c>
      <c r="B2" s="9"/>
      <c r="C2" s="9"/>
      <c r="D2" s="10"/>
      <c r="E2" s="11" t="s">
        <v>33</v>
      </c>
      <c r="F2" s="12"/>
      <c r="G2" s="9"/>
      <c r="H2" s="10"/>
      <c r="I2" s="11" t="s">
        <v>35</v>
      </c>
      <c r="J2" s="9"/>
      <c r="K2" s="13"/>
      <c r="L2" s="8"/>
      <c r="M2" s="14" t="s">
        <v>34</v>
      </c>
      <c r="N2" s="9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</row>
    <row r="3" spans="1:30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</row>
    <row r="4" spans="1:30" s="1" customFormat="1" ht="17.25" customHeight="1" x14ac:dyDescent="0.25">
      <c r="A4" s="66" t="s">
        <v>24</v>
      </c>
      <c r="B4" s="67"/>
      <c r="C4" s="16" t="s">
        <v>31</v>
      </c>
      <c r="D4" s="18">
        <v>1</v>
      </c>
      <c r="E4" s="18">
        <v>2</v>
      </c>
      <c r="F4" s="18">
        <v>3</v>
      </c>
      <c r="G4" s="18">
        <v>4</v>
      </c>
      <c r="H4" s="18">
        <v>5</v>
      </c>
      <c r="I4" s="18">
        <v>6</v>
      </c>
      <c r="J4" s="18">
        <v>7</v>
      </c>
      <c r="K4" s="18">
        <v>8</v>
      </c>
      <c r="L4" s="18">
        <v>9</v>
      </c>
      <c r="M4" s="18">
        <v>10</v>
      </c>
      <c r="N4" s="18">
        <v>11</v>
      </c>
      <c r="O4" s="18">
        <v>12</v>
      </c>
      <c r="P4" s="18">
        <v>13</v>
      </c>
      <c r="Q4" s="18">
        <v>14</v>
      </c>
      <c r="R4" s="18">
        <v>15</v>
      </c>
      <c r="S4" s="18">
        <v>16</v>
      </c>
      <c r="T4" s="18">
        <v>17</v>
      </c>
      <c r="U4" s="18">
        <v>18</v>
      </c>
      <c r="V4" s="18">
        <v>19</v>
      </c>
      <c r="W4" s="18">
        <v>20</v>
      </c>
      <c r="X4" s="18">
        <v>21</v>
      </c>
      <c r="Y4" s="18">
        <v>22</v>
      </c>
      <c r="Z4" s="18">
        <v>23</v>
      </c>
      <c r="AA4" s="18">
        <v>24</v>
      </c>
      <c r="AB4" s="18" t="s">
        <v>50</v>
      </c>
      <c r="AC4" s="18" t="s">
        <v>42</v>
      </c>
      <c r="AD4" s="68" t="s">
        <v>39</v>
      </c>
    </row>
    <row r="5" spans="1:30" s="1" customFormat="1" ht="17.25" customHeight="1" x14ac:dyDescent="0.25">
      <c r="A5" s="75" t="s">
        <v>0</v>
      </c>
      <c r="B5" s="76" t="s">
        <v>32</v>
      </c>
      <c r="C5" s="7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9"/>
      <c r="AC5" s="18" t="s">
        <v>40</v>
      </c>
      <c r="AD5" s="69"/>
    </row>
    <row r="6" spans="1:30" s="1" customFormat="1" ht="17.25" customHeight="1" x14ac:dyDescent="0.25">
      <c r="A6" s="75"/>
      <c r="B6" s="78"/>
      <c r="C6" s="79"/>
      <c r="D6" s="20">
        <v>4</v>
      </c>
      <c r="E6" s="20">
        <v>4</v>
      </c>
      <c r="F6" s="20">
        <v>4</v>
      </c>
      <c r="G6" s="20">
        <v>4</v>
      </c>
      <c r="H6" s="20">
        <v>4</v>
      </c>
      <c r="I6" s="20">
        <v>4</v>
      </c>
      <c r="J6" s="20">
        <v>4</v>
      </c>
      <c r="K6" s="20">
        <v>4</v>
      </c>
      <c r="L6" s="20">
        <v>4</v>
      </c>
      <c r="M6" s="20">
        <v>4</v>
      </c>
      <c r="N6" s="20">
        <v>4</v>
      </c>
      <c r="O6" s="20">
        <v>4</v>
      </c>
      <c r="P6" s="20">
        <v>4</v>
      </c>
      <c r="Q6" s="20">
        <v>4</v>
      </c>
      <c r="R6" s="20">
        <v>4</v>
      </c>
      <c r="S6" s="20">
        <v>4</v>
      </c>
      <c r="T6" s="20">
        <v>4</v>
      </c>
      <c r="U6" s="20">
        <v>4</v>
      </c>
      <c r="V6" s="20">
        <v>4</v>
      </c>
      <c r="W6" s="20">
        <v>4</v>
      </c>
      <c r="X6" s="20">
        <v>4</v>
      </c>
      <c r="Y6" s="20"/>
      <c r="Z6" s="20"/>
      <c r="AA6" s="20"/>
      <c r="AB6" s="17"/>
      <c r="AC6" s="17"/>
      <c r="AD6" s="70"/>
    </row>
    <row r="7" spans="1:30" s="1" customFormat="1" ht="17.25" customHeight="1" x14ac:dyDescent="0.25">
      <c r="A7" s="21"/>
      <c r="B7" s="66"/>
      <c r="C7" s="67"/>
      <c r="D7" s="59"/>
      <c r="E7" s="59"/>
      <c r="F7" s="59"/>
      <c r="G7" s="59"/>
      <c r="H7" s="59"/>
      <c r="I7" s="59"/>
      <c r="J7" s="59"/>
      <c r="K7" s="60"/>
      <c r="L7" s="60"/>
      <c r="M7" s="60"/>
      <c r="N7" s="60"/>
      <c r="O7" s="60"/>
      <c r="P7" s="60"/>
      <c r="Q7" s="60"/>
      <c r="R7" s="59"/>
      <c r="S7" s="59"/>
      <c r="T7" s="59"/>
      <c r="U7" s="59"/>
      <c r="V7" s="59"/>
      <c r="W7" s="59"/>
      <c r="X7" s="59"/>
      <c r="Y7" s="59"/>
      <c r="Z7" s="59"/>
      <c r="AA7" s="59"/>
      <c r="AB7" s="20"/>
      <c r="AC7" s="17"/>
      <c r="AD7" s="17"/>
    </row>
    <row r="8" spans="1:30" s="1" customFormat="1" ht="17.25" customHeight="1" x14ac:dyDescent="0.25">
      <c r="A8" s="21"/>
      <c r="B8" s="66"/>
      <c r="C8" s="67"/>
      <c r="D8" s="59"/>
      <c r="E8" s="59"/>
      <c r="F8" s="59"/>
      <c r="G8" s="59"/>
      <c r="H8" s="59"/>
      <c r="I8" s="59"/>
      <c r="J8" s="59"/>
      <c r="K8" s="60"/>
      <c r="L8" s="60"/>
      <c r="M8" s="60"/>
      <c r="N8" s="60"/>
      <c r="O8" s="60"/>
      <c r="P8" s="60"/>
      <c r="Q8" s="60"/>
      <c r="R8" s="59"/>
      <c r="S8" s="59"/>
      <c r="T8" s="59"/>
      <c r="U8" s="59"/>
      <c r="V8" s="59"/>
      <c r="W8" s="59"/>
      <c r="X8" s="59"/>
      <c r="Y8" s="59"/>
      <c r="Z8" s="59"/>
      <c r="AA8" s="59"/>
      <c r="AB8" s="20"/>
      <c r="AC8" s="17"/>
      <c r="AD8" s="17"/>
    </row>
    <row r="9" spans="1:30" s="1" customFormat="1" ht="17.25" customHeight="1" x14ac:dyDescent="0.25">
      <c r="A9" s="17"/>
      <c r="B9" s="66"/>
      <c r="C9" s="67"/>
      <c r="D9" s="59"/>
      <c r="E9" s="59"/>
      <c r="F9" s="59"/>
      <c r="G9" s="59"/>
      <c r="H9" s="59"/>
      <c r="I9" s="59"/>
      <c r="J9" s="59"/>
      <c r="K9" s="60"/>
      <c r="L9" s="60"/>
      <c r="M9" s="60"/>
      <c r="N9" s="60"/>
      <c r="O9" s="60"/>
      <c r="P9" s="60"/>
      <c r="Q9" s="60"/>
      <c r="R9" s="59"/>
      <c r="S9" s="59"/>
      <c r="T9" s="59"/>
      <c r="U9" s="59"/>
      <c r="V9" s="59"/>
      <c r="W9" s="59"/>
      <c r="X9" s="59"/>
      <c r="Y9" s="59"/>
      <c r="Z9" s="59"/>
      <c r="AA9" s="59"/>
      <c r="AB9" s="20"/>
      <c r="AC9" s="17"/>
      <c r="AD9" s="17"/>
    </row>
    <row r="10" spans="1:30" s="1" customFormat="1" ht="17.25" customHeight="1" x14ac:dyDescent="0.25">
      <c r="A10" s="17"/>
      <c r="B10" s="66"/>
      <c r="C10" s="67"/>
      <c r="D10" s="59"/>
      <c r="E10" s="59"/>
      <c r="F10" s="59"/>
      <c r="G10" s="59"/>
      <c r="H10" s="59"/>
      <c r="I10" s="59"/>
      <c r="J10" s="59"/>
      <c r="K10" s="60"/>
      <c r="L10" s="60"/>
      <c r="M10" s="60"/>
      <c r="N10" s="60"/>
      <c r="O10" s="60"/>
      <c r="P10" s="60"/>
      <c r="Q10" s="60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20"/>
      <c r="AC10" s="17"/>
      <c r="AD10" s="17"/>
    </row>
    <row r="11" spans="1:30" s="1" customFormat="1" ht="17.25" customHeight="1" x14ac:dyDescent="0.25">
      <c r="A11" s="21"/>
      <c r="B11" s="66"/>
      <c r="C11" s="67"/>
      <c r="D11" s="59"/>
      <c r="E11" s="59"/>
      <c r="F11" s="59"/>
      <c r="G11" s="59"/>
      <c r="H11" s="59"/>
      <c r="I11" s="59"/>
      <c r="J11" s="59"/>
      <c r="K11" s="60"/>
      <c r="L11" s="60"/>
      <c r="M11" s="60"/>
      <c r="N11" s="60"/>
      <c r="O11" s="60"/>
      <c r="P11" s="60"/>
      <c r="Q11" s="60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20"/>
      <c r="AC11" s="17"/>
      <c r="AD11" s="17"/>
    </row>
    <row r="12" spans="1:30" s="1" customFormat="1" ht="17.25" customHeight="1" x14ac:dyDescent="0.25">
      <c r="A12" s="17"/>
      <c r="B12" s="66"/>
      <c r="C12" s="67"/>
      <c r="D12" s="59"/>
      <c r="E12" s="59"/>
      <c r="F12" s="59"/>
      <c r="G12" s="59"/>
      <c r="H12" s="59"/>
      <c r="I12" s="59"/>
      <c r="J12" s="59"/>
      <c r="K12" s="60"/>
      <c r="L12" s="60"/>
      <c r="M12" s="60"/>
      <c r="N12" s="60"/>
      <c r="O12" s="60"/>
      <c r="P12" s="60"/>
      <c r="Q12" s="60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20"/>
      <c r="AC12" s="17"/>
      <c r="AD12" s="17"/>
    </row>
    <row r="13" spans="1:30" s="1" customFormat="1" ht="17.25" customHeight="1" x14ac:dyDescent="0.25">
      <c r="A13" s="17"/>
      <c r="B13" s="66"/>
      <c r="C13" s="67"/>
      <c r="D13" s="59"/>
      <c r="E13" s="59"/>
      <c r="F13" s="59"/>
      <c r="G13" s="59"/>
      <c r="H13" s="59"/>
      <c r="I13" s="59"/>
      <c r="J13" s="59"/>
      <c r="K13" s="60"/>
      <c r="L13" s="60"/>
      <c r="M13" s="60"/>
      <c r="N13" s="60"/>
      <c r="O13" s="60"/>
      <c r="P13" s="60"/>
      <c r="Q13" s="60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20"/>
      <c r="AC13" s="17"/>
      <c r="AD13" s="17"/>
    </row>
    <row r="14" spans="1:30" s="1" customFormat="1" ht="17.25" customHeight="1" x14ac:dyDescent="0.25">
      <c r="A14" s="17"/>
      <c r="B14" s="66"/>
      <c r="C14" s="67"/>
      <c r="D14" s="59"/>
      <c r="E14" s="59"/>
      <c r="F14" s="59"/>
      <c r="G14" s="59"/>
      <c r="H14" s="59"/>
      <c r="I14" s="59"/>
      <c r="J14" s="59"/>
      <c r="K14" s="60"/>
      <c r="L14" s="60"/>
      <c r="M14" s="60"/>
      <c r="N14" s="60"/>
      <c r="O14" s="60"/>
      <c r="P14" s="60"/>
      <c r="Q14" s="60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20"/>
      <c r="AC14" s="17"/>
      <c r="AD14" s="17"/>
    </row>
    <row r="15" spans="1:30" s="1" customFormat="1" ht="17.25" customHeight="1" x14ac:dyDescent="0.25">
      <c r="A15" s="17"/>
      <c r="B15" s="66"/>
      <c r="C15" s="67"/>
      <c r="D15" s="59"/>
      <c r="E15" s="59"/>
      <c r="F15" s="59"/>
      <c r="G15" s="59"/>
      <c r="H15" s="59"/>
      <c r="I15" s="59"/>
      <c r="J15" s="59"/>
      <c r="K15" s="60"/>
      <c r="L15" s="60"/>
      <c r="M15" s="60"/>
      <c r="N15" s="60"/>
      <c r="O15" s="60"/>
      <c r="P15" s="60"/>
      <c r="Q15" s="60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20"/>
      <c r="AC15" s="17"/>
      <c r="AD15" s="17"/>
    </row>
    <row r="16" spans="1:30" s="1" customFormat="1" ht="17.25" customHeight="1" x14ac:dyDescent="0.25">
      <c r="A16" s="17"/>
      <c r="B16" s="66"/>
      <c r="C16" s="67"/>
      <c r="D16" s="59"/>
      <c r="E16" s="59"/>
      <c r="F16" s="59"/>
      <c r="G16" s="59"/>
      <c r="H16" s="59"/>
      <c r="I16" s="59"/>
      <c r="J16" s="59"/>
      <c r="K16" s="60"/>
      <c r="L16" s="60"/>
      <c r="M16" s="60"/>
      <c r="N16" s="60"/>
      <c r="O16" s="60"/>
      <c r="P16" s="60"/>
      <c r="Q16" s="60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20"/>
      <c r="AC16" s="17"/>
      <c r="AD16" s="17"/>
    </row>
    <row r="17" spans="1:30" s="1" customFormat="1" ht="17.25" customHeight="1" x14ac:dyDescent="0.25">
      <c r="A17" s="17"/>
      <c r="B17" s="66"/>
      <c r="C17" s="67"/>
      <c r="D17" s="59"/>
      <c r="E17" s="59"/>
      <c r="F17" s="59"/>
      <c r="G17" s="59"/>
      <c r="H17" s="59"/>
      <c r="I17" s="59"/>
      <c r="J17" s="59"/>
      <c r="K17" s="60"/>
      <c r="L17" s="60"/>
      <c r="M17" s="60"/>
      <c r="N17" s="60"/>
      <c r="O17" s="60"/>
      <c r="P17" s="60"/>
      <c r="Q17" s="60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17"/>
      <c r="AC17" s="17"/>
      <c r="AD17" s="17"/>
    </row>
    <row r="18" spans="1:30" s="1" customFormat="1" ht="17.25" customHeight="1" x14ac:dyDescent="0.25">
      <c r="A18" s="17"/>
      <c r="B18" s="66"/>
      <c r="C18" s="67"/>
      <c r="D18" s="59"/>
      <c r="E18" s="59"/>
      <c r="F18" s="59"/>
      <c r="G18" s="59"/>
      <c r="H18" s="59"/>
      <c r="I18" s="59"/>
      <c r="J18" s="59"/>
      <c r="K18" s="60"/>
      <c r="L18" s="60"/>
      <c r="M18" s="60"/>
      <c r="N18" s="60"/>
      <c r="O18" s="60"/>
      <c r="P18" s="60"/>
      <c r="Q18" s="60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17"/>
      <c r="AC18" s="17"/>
      <c r="AD18" s="17"/>
    </row>
    <row r="19" spans="1:30" s="1" customFormat="1" ht="17.25" customHeight="1" x14ac:dyDescent="0.25">
      <c r="A19" s="17"/>
      <c r="B19" s="66"/>
      <c r="C19" s="67"/>
      <c r="D19" s="59"/>
      <c r="E19" s="59"/>
      <c r="F19" s="59"/>
      <c r="G19" s="59"/>
      <c r="H19" s="59"/>
      <c r="I19" s="59"/>
      <c r="J19" s="59"/>
      <c r="K19" s="60"/>
      <c r="L19" s="60"/>
      <c r="M19" s="60"/>
      <c r="N19" s="60"/>
      <c r="O19" s="60"/>
      <c r="P19" s="60"/>
      <c r="Q19" s="60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17"/>
      <c r="AC19" s="17"/>
      <c r="AD19" s="17"/>
    </row>
    <row r="20" spans="1:30" s="1" customFormat="1" ht="17.25" customHeight="1" x14ac:dyDescent="0.25">
      <c r="A20" s="17"/>
      <c r="B20" s="66"/>
      <c r="C20" s="67"/>
      <c r="D20" s="59"/>
      <c r="E20" s="59"/>
      <c r="F20" s="59"/>
      <c r="G20" s="59"/>
      <c r="H20" s="59"/>
      <c r="I20" s="59"/>
      <c r="J20" s="59"/>
      <c r="K20" s="60"/>
      <c r="L20" s="60"/>
      <c r="M20" s="60"/>
      <c r="N20" s="60"/>
      <c r="O20" s="60"/>
      <c r="P20" s="60"/>
      <c r="Q20" s="60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17"/>
      <c r="AC20" s="17"/>
      <c r="AD20" s="17"/>
    </row>
    <row r="21" spans="1:30" s="1" customFormat="1" ht="17.25" customHeight="1" x14ac:dyDescent="0.25">
      <c r="A21" s="17"/>
      <c r="B21" s="66"/>
      <c r="C21" s="67"/>
      <c r="D21" s="59"/>
      <c r="E21" s="59"/>
      <c r="F21" s="59"/>
      <c r="G21" s="59"/>
      <c r="H21" s="59"/>
      <c r="I21" s="59"/>
      <c r="J21" s="59"/>
      <c r="K21" s="60"/>
      <c r="L21" s="60"/>
      <c r="M21" s="60"/>
      <c r="N21" s="60"/>
      <c r="O21" s="60"/>
      <c r="P21" s="60"/>
      <c r="Q21" s="60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17"/>
      <c r="AC21" s="17"/>
      <c r="AD21" s="17"/>
    </row>
    <row r="22" spans="1:30" s="1" customFormat="1" ht="6" customHeight="1" x14ac:dyDescent="0.25">
      <c r="A22" s="23"/>
      <c r="B22" s="23"/>
      <c r="C22" s="23"/>
      <c r="D22" s="24"/>
      <c r="E22" s="24"/>
      <c r="F22" s="24"/>
      <c r="G22" s="24"/>
      <c r="H22" s="24"/>
      <c r="I22" s="24"/>
      <c r="J22" s="24"/>
      <c r="K22" s="61"/>
      <c r="L22" s="61"/>
      <c r="M22" s="61"/>
      <c r="N22" s="61"/>
      <c r="O22" s="61"/>
      <c r="P22" s="61"/>
      <c r="Q22" s="61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3"/>
      <c r="AC22" s="23"/>
      <c r="AD22" s="23"/>
    </row>
    <row r="23" spans="1:30" ht="16.2" thickBot="1" x14ac:dyDescent="0.3">
      <c r="A23" s="25" t="s">
        <v>36</v>
      </c>
      <c r="B23" s="26"/>
      <c r="C23" s="27" t="s">
        <v>37</v>
      </c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</row>
    <row r="24" spans="1:30" x14ac:dyDescent="0.25">
      <c r="A24" s="28" t="s">
        <v>25</v>
      </c>
      <c r="B24" s="56" t="s">
        <v>28</v>
      </c>
      <c r="C24" s="94" t="s">
        <v>11</v>
      </c>
      <c r="D24" s="94"/>
      <c r="E24" s="94" t="s">
        <v>12</v>
      </c>
      <c r="F24" s="94"/>
      <c r="G24" s="94" t="s">
        <v>13</v>
      </c>
      <c r="H24" s="94"/>
      <c r="I24" s="94" t="s">
        <v>14</v>
      </c>
      <c r="J24" s="94"/>
      <c r="K24" s="94" t="s">
        <v>15</v>
      </c>
      <c r="L24" s="94"/>
      <c r="M24" s="94" t="s">
        <v>16</v>
      </c>
      <c r="N24" s="94"/>
      <c r="O24" s="94" t="s">
        <v>17</v>
      </c>
      <c r="P24" s="94"/>
      <c r="Q24" s="94" t="s">
        <v>18</v>
      </c>
      <c r="R24" s="95"/>
      <c r="S24" s="51"/>
      <c r="T24" s="52"/>
      <c r="U24" s="52"/>
      <c r="V24" s="52"/>
      <c r="W24" s="52"/>
      <c r="X24" s="52"/>
      <c r="Y24" s="52"/>
      <c r="Z24" s="52"/>
      <c r="AA24" s="52"/>
      <c r="AB24" s="53"/>
      <c r="AC24" s="53"/>
      <c r="AD24" s="53"/>
    </row>
    <row r="25" spans="1:30" x14ac:dyDescent="0.25">
      <c r="A25" s="30" t="s">
        <v>26</v>
      </c>
      <c r="B25" s="98" t="s">
        <v>41</v>
      </c>
      <c r="C25" s="54" t="s">
        <v>29</v>
      </c>
      <c r="D25" s="54"/>
      <c r="E25" s="54" t="s">
        <v>30</v>
      </c>
      <c r="F25" s="54"/>
      <c r="G25" s="54" t="s">
        <v>54</v>
      </c>
      <c r="H25" s="54"/>
      <c r="I25" s="54" t="s">
        <v>19</v>
      </c>
      <c r="J25" s="54"/>
      <c r="K25" s="54" t="s">
        <v>20</v>
      </c>
      <c r="L25" s="54"/>
      <c r="M25" s="54" t="s">
        <v>21</v>
      </c>
      <c r="N25" s="54"/>
      <c r="O25" s="54" t="s">
        <v>22</v>
      </c>
      <c r="P25" s="54"/>
      <c r="Q25" s="96" t="s">
        <v>72</v>
      </c>
      <c r="R25" s="97"/>
      <c r="S25" s="52"/>
      <c r="T25" s="52"/>
      <c r="U25" s="52"/>
      <c r="V25" s="52"/>
      <c r="W25" s="52"/>
      <c r="X25" s="52"/>
      <c r="Y25" s="52"/>
      <c r="Z25" s="52"/>
      <c r="AA25" s="52"/>
      <c r="AB25" s="53"/>
      <c r="AC25" s="53"/>
      <c r="AD25" s="53"/>
    </row>
    <row r="26" spans="1:30" x14ac:dyDescent="0.25">
      <c r="A26" s="30" t="s">
        <v>27</v>
      </c>
      <c r="B26" s="98"/>
      <c r="C26" s="54" t="s">
        <v>59</v>
      </c>
      <c r="D26" s="54"/>
      <c r="E26" s="54" t="s">
        <v>60</v>
      </c>
      <c r="F26" s="54"/>
      <c r="G26" s="54" t="s">
        <v>61</v>
      </c>
      <c r="H26" s="54"/>
      <c r="I26" s="55" t="s">
        <v>62</v>
      </c>
      <c r="J26" s="54"/>
      <c r="K26" s="54" t="s">
        <v>63</v>
      </c>
      <c r="L26" s="54"/>
      <c r="M26" s="96" t="s">
        <v>64</v>
      </c>
      <c r="N26" s="96"/>
      <c r="O26" s="96" t="s">
        <v>65</v>
      </c>
      <c r="P26" s="96"/>
      <c r="Q26" s="96" t="s">
        <v>73</v>
      </c>
      <c r="R26" s="97"/>
      <c r="S26" s="51"/>
      <c r="T26" s="52"/>
      <c r="U26" s="52"/>
      <c r="V26" s="52"/>
      <c r="W26" s="52"/>
      <c r="X26" s="52"/>
      <c r="Y26" s="52"/>
      <c r="Z26" s="52"/>
      <c r="AA26" s="52"/>
      <c r="AB26" s="53"/>
      <c r="AC26" s="53"/>
      <c r="AD26" s="53"/>
    </row>
    <row r="27" spans="1:30" ht="16.2" thickBot="1" x14ac:dyDescent="0.3">
      <c r="A27" s="80"/>
      <c r="B27" s="81"/>
      <c r="C27" s="91" t="s">
        <v>56</v>
      </c>
      <c r="D27" s="91"/>
      <c r="E27" s="91" t="s">
        <v>57</v>
      </c>
      <c r="F27" s="91"/>
      <c r="G27" s="91" t="s">
        <v>55</v>
      </c>
      <c r="H27" s="91"/>
      <c r="I27" s="92" t="s">
        <v>67</v>
      </c>
      <c r="J27" s="92"/>
      <c r="K27" s="57"/>
      <c r="L27" s="57"/>
      <c r="M27" s="57"/>
      <c r="N27" s="57"/>
      <c r="O27" s="57"/>
      <c r="P27" s="57"/>
      <c r="Q27" s="57"/>
      <c r="R27" s="58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</row>
    <row r="28" spans="1:30" ht="3.75" customHeight="1" x14ac:dyDescent="0.25">
      <c r="A28" s="15"/>
      <c r="B28" s="26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</row>
    <row r="29" spans="1:30" x14ac:dyDescent="0.25">
      <c r="A29" s="27" t="s">
        <v>38</v>
      </c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</row>
    <row r="30" spans="1:30" s="5" customFormat="1" ht="16.5" customHeight="1" x14ac:dyDescent="0.25">
      <c r="A30" s="46" t="s">
        <v>43</v>
      </c>
      <c r="B30" s="47"/>
      <c r="C30" s="47"/>
      <c r="D30" s="47"/>
      <c r="E30" s="47"/>
      <c r="F30" s="47"/>
      <c r="G30" s="47"/>
      <c r="H30" s="47"/>
      <c r="I30" s="45" t="s">
        <v>58</v>
      </c>
      <c r="J30" s="15"/>
      <c r="K30" s="15"/>
      <c r="L30" s="15"/>
      <c r="M30" s="15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</row>
    <row r="31" spans="1:30" ht="16.5" customHeight="1" x14ac:dyDescent="0.25">
      <c r="A31" s="48" t="s">
        <v>44</v>
      </c>
      <c r="B31" s="47"/>
      <c r="C31" s="47"/>
      <c r="D31" s="47"/>
      <c r="E31" s="47"/>
      <c r="F31" s="15"/>
      <c r="G31" s="15"/>
      <c r="H31" s="15"/>
      <c r="I31" s="45" t="s">
        <v>45</v>
      </c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</row>
    <row r="32" spans="1:30" ht="16.5" customHeight="1" x14ac:dyDescent="0.15">
      <c r="A32" s="45" t="s">
        <v>46</v>
      </c>
      <c r="B32" s="15"/>
      <c r="C32" s="15"/>
      <c r="D32" s="15"/>
      <c r="E32" s="15"/>
      <c r="F32" s="15"/>
      <c r="G32" s="15"/>
      <c r="H32" s="15"/>
      <c r="I32" s="48" t="s">
        <v>47</v>
      </c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</row>
    <row r="33" spans="1:30" ht="16.5" customHeight="1" x14ac:dyDescent="0.25">
      <c r="A33" s="45" t="s">
        <v>49</v>
      </c>
      <c r="B33" s="15"/>
      <c r="C33" s="15"/>
      <c r="D33" s="15"/>
      <c r="E33" s="15"/>
      <c r="F33" s="45" t="s">
        <v>48</v>
      </c>
      <c r="G33" s="15"/>
      <c r="H33" s="15"/>
      <c r="I33" s="15"/>
      <c r="J33" s="15"/>
      <c r="K33" s="15"/>
      <c r="L33" s="49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</row>
    <row r="34" spans="1:30" s="7" customFormat="1" ht="12" x14ac:dyDescent="0.2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16" t="s">
        <v>51</v>
      </c>
      <c r="M34" s="51"/>
      <c r="N34" s="50"/>
      <c r="O34" s="51" t="s">
        <v>68</v>
      </c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</row>
    <row r="35" spans="1:30" x14ac:dyDescent="0.25">
      <c r="D35" s="2"/>
      <c r="F35" s="2"/>
      <c r="G35" s="2"/>
    </row>
    <row r="36" spans="1:30" x14ac:dyDescent="0.25">
      <c r="D36" s="2"/>
      <c r="F36" s="2"/>
      <c r="G36" s="2"/>
    </row>
    <row r="37" spans="1:30" x14ac:dyDescent="0.25">
      <c r="D37" s="2"/>
      <c r="F37" s="2"/>
      <c r="G37" s="2"/>
    </row>
    <row r="38" spans="1:30" x14ac:dyDescent="0.25">
      <c r="D38" s="2"/>
      <c r="F38" s="2"/>
      <c r="G38" s="2"/>
    </row>
  </sheetData>
  <mergeCells count="38">
    <mergeCell ref="A27:B27"/>
    <mergeCell ref="C27:D27"/>
    <mergeCell ref="E27:F27"/>
    <mergeCell ref="G27:H27"/>
    <mergeCell ref="I27:J27"/>
    <mergeCell ref="Q24:R24"/>
    <mergeCell ref="Q25:R25"/>
    <mergeCell ref="Q26:R26"/>
    <mergeCell ref="B20:C20"/>
    <mergeCell ref="B21:C21"/>
    <mergeCell ref="C24:D24"/>
    <mergeCell ref="E24:F24"/>
    <mergeCell ref="G24:H24"/>
    <mergeCell ref="K24:L24"/>
    <mergeCell ref="M24:N24"/>
    <mergeCell ref="O24:P24"/>
    <mergeCell ref="B25:B26"/>
    <mergeCell ref="M26:N26"/>
    <mergeCell ref="O26:P26"/>
    <mergeCell ref="I24:J24"/>
    <mergeCell ref="B19:C19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  <mergeCell ref="B7:C7"/>
    <mergeCell ref="A1:AD1"/>
    <mergeCell ref="A4:B4"/>
    <mergeCell ref="AD4:AD6"/>
    <mergeCell ref="A5:A6"/>
    <mergeCell ref="B5:C6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4"/>
  <sheetViews>
    <sheetView workbookViewId="0">
      <selection activeCell="G42" sqref="G42"/>
    </sheetView>
  </sheetViews>
  <sheetFormatPr defaultRowHeight="15.6" x14ac:dyDescent="0.25"/>
  <sheetData>
    <row r="1" spans="1:4" x14ac:dyDescent="0.25">
      <c r="A1" t="s">
        <v>69</v>
      </c>
      <c r="B1" t="s">
        <v>70</v>
      </c>
      <c r="C1" t="s">
        <v>71</v>
      </c>
    </row>
    <row r="2" spans="1:4" x14ac:dyDescent="0.25">
      <c r="A2">
        <v>1</v>
      </c>
      <c r="B2">
        <v>1</v>
      </c>
      <c r="C2">
        <v>2</v>
      </c>
      <c r="D2" s="2" t="s">
        <v>74</v>
      </c>
    </row>
    <row r="3" spans="1:4" x14ac:dyDescent="0.25">
      <c r="A3">
        <v>2</v>
      </c>
      <c r="B3">
        <v>1</v>
      </c>
      <c r="C3">
        <v>2</v>
      </c>
      <c r="D3" s="2" t="s">
        <v>75</v>
      </c>
    </row>
    <row r="4" spans="1:4" x14ac:dyDescent="0.25">
      <c r="A4">
        <v>3</v>
      </c>
      <c r="B4">
        <v>1</v>
      </c>
      <c r="C4">
        <v>2</v>
      </c>
      <c r="D4" s="2" t="s">
        <v>76</v>
      </c>
    </row>
    <row r="5" spans="1:4" x14ac:dyDescent="0.25">
      <c r="A5">
        <v>4</v>
      </c>
      <c r="B5">
        <v>1</v>
      </c>
      <c r="C5">
        <v>2</v>
      </c>
      <c r="D5" s="2" t="s">
        <v>77</v>
      </c>
    </row>
    <row r="6" spans="1:4" x14ac:dyDescent="0.25">
      <c r="A6">
        <v>5</v>
      </c>
      <c r="B6">
        <v>1</v>
      </c>
      <c r="C6">
        <v>2</v>
      </c>
      <c r="D6" s="2" t="s">
        <v>78</v>
      </c>
    </row>
    <row r="7" spans="1:4" x14ac:dyDescent="0.25">
      <c r="A7">
        <v>6</v>
      </c>
      <c r="B7">
        <v>1</v>
      </c>
      <c r="C7">
        <v>2</v>
      </c>
      <c r="D7" s="2" t="s">
        <v>79</v>
      </c>
    </row>
    <row r="8" spans="1:4" x14ac:dyDescent="0.25">
      <c r="A8">
        <v>7</v>
      </c>
      <c r="B8">
        <v>1</v>
      </c>
      <c r="C8">
        <v>2</v>
      </c>
      <c r="D8" s="2" t="s">
        <v>80</v>
      </c>
    </row>
    <row r="9" spans="1:4" x14ac:dyDescent="0.25">
      <c r="A9">
        <v>8</v>
      </c>
      <c r="B9">
        <v>1</v>
      </c>
      <c r="C9">
        <v>2</v>
      </c>
      <c r="D9" s="2" t="s">
        <v>81</v>
      </c>
    </row>
    <row r="10" spans="1:4" x14ac:dyDescent="0.25">
      <c r="A10">
        <v>9</v>
      </c>
      <c r="B10">
        <v>1</v>
      </c>
      <c r="C10">
        <v>2</v>
      </c>
      <c r="D10" s="2" t="s">
        <v>82</v>
      </c>
    </row>
    <row r="11" spans="1:4" x14ac:dyDescent="0.25">
      <c r="A11">
        <v>10</v>
      </c>
      <c r="B11">
        <v>1</v>
      </c>
      <c r="C11">
        <v>2</v>
      </c>
      <c r="D11" s="2" t="s">
        <v>83</v>
      </c>
    </row>
    <row r="12" spans="1:4" x14ac:dyDescent="0.25">
      <c r="A12">
        <v>11</v>
      </c>
      <c r="B12">
        <v>1</v>
      </c>
      <c r="C12">
        <v>2</v>
      </c>
      <c r="D12" s="2" t="s">
        <v>84</v>
      </c>
    </row>
    <row r="13" spans="1:4" x14ac:dyDescent="0.25">
      <c r="A13">
        <v>12</v>
      </c>
      <c r="B13">
        <v>1</v>
      </c>
      <c r="C13">
        <v>2</v>
      </c>
      <c r="D13" s="2" t="s">
        <v>85</v>
      </c>
    </row>
    <row r="14" spans="1:4" x14ac:dyDescent="0.25">
      <c r="A14">
        <v>13</v>
      </c>
      <c r="B14">
        <v>1</v>
      </c>
      <c r="C14">
        <v>2</v>
      </c>
      <c r="D14" s="2" t="s">
        <v>86</v>
      </c>
    </row>
    <row r="15" spans="1:4" x14ac:dyDescent="0.25">
      <c r="D15" s="2"/>
    </row>
    <row r="16" spans="1:4" x14ac:dyDescent="0.25">
      <c r="D16" s="2"/>
    </row>
    <row r="17" spans="4:4" x14ac:dyDescent="0.25">
      <c r="D17" s="2"/>
    </row>
    <row r="18" spans="4:4" x14ac:dyDescent="0.25">
      <c r="D18" s="2"/>
    </row>
    <row r="19" spans="4:4" x14ac:dyDescent="0.25">
      <c r="D19" s="2"/>
    </row>
    <row r="20" spans="4:4" x14ac:dyDescent="0.25">
      <c r="D20" s="2"/>
    </row>
    <row r="21" spans="4:4" x14ac:dyDescent="0.25">
      <c r="D21" s="2"/>
    </row>
    <row r="22" spans="4:4" x14ac:dyDescent="0.25">
      <c r="D22" s="2"/>
    </row>
    <row r="23" spans="4:4" x14ac:dyDescent="0.25">
      <c r="D23" s="2"/>
    </row>
    <row r="24" spans="4:4" x14ac:dyDescent="0.25">
      <c r="D24" s="2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轴加工</vt:lpstr>
      <vt:lpstr>测量值</vt:lpstr>
      <vt:lpstr>范围值</vt:lpstr>
    </vt:vector>
  </TitlesOfParts>
  <Company>MCC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yuanguocheng</dc:creator>
  <cp:lastModifiedBy>唐辉</cp:lastModifiedBy>
  <cp:lastPrinted>2012-10-26T05:10:39Z</cp:lastPrinted>
  <dcterms:created xsi:type="dcterms:W3CDTF">2007-11-24T00:33:08Z</dcterms:created>
  <dcterms:modified xsi:type="dcterms:W3CDTF">2019-01-09T06:34:14Z</dcterms:modified>
</cp:coreProperties>
</file>